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hang\Dropbox\DATA\T27\19. Google antigravity\T27\Input\"/>
    </mc:Choice>
  </mc:AlternateContent>
  <xr:revisionPtr revIDLastSave="0" documentId="13_ncr:1_{9CCCF085-F7BA-44F9-A0B2-CA20A99E3A9B}" xr6:coauthVersionLast="47" xr6:coauthVersionMax="47" xr10:uidLastSave="{00000000-0000-0000-0000-000000000000}"/>
  <bookViews>
    <workbookView xWindow="-120" yWindow="-120" windowWidth="29040" windowHeight="15720" firstSheet="4" activeTab="5" xr2:uid="{B17A8DC7-4400-4802-8639-9CDD4D7B4516}"/>
  </bookViews>
  <sheets>
    <sheet name="Sheet1" sheetId="1" state="hidden" r:id="rId1"/>
    <sheet name="Lịch sử phát triển-ok" sheetId="4" r:id="rId2"/>
    <sheet name="Sơ đồ tổ chức-ok" sheetId="3" r:id="rId3"/>
    <sheet name="Các phòng ban" sheetId="5" r:id="rId4"/>
    <sheet name="Các dự án" sheetId="2" r:id="rId5"/>
    <sheet name="Đội ngũ chuyên gia" sheetId="6" r:id="rId6"/>
    <sheet name="Sứ mệnh tầm nhìn" sheetId="7" r:id="rId7"/>
    <sheet name="khóa thảo luận" sheetId="8" r:id="rId8"/>
    <sheet name="Hoạt động thực tế "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6" l="1"/>
  <c r="A61" i="6" s="1"/>
  <c r="A62" i="6" s="1"/>
  <c r="A57" i="6"/>
  <c r="A39" i="6"/>
  <c r="A40" i="6"/>
  <c r="A41" i="6" s="1"/>
  <c r="A3" i="6"/>
  <c r="A4" i="6" s="1"/>
  <c r="A5" i="6" s="1"/>
  <c r="C2" i="2"/>
  <c r="D2" i="2"/>
  <c r="E2" i="2"/>
  <c r="F2" i="2"/>
  <c r="G2" i="2"/>
  <c r="H2" i="2"/>
  <c r="I2" i="2"/>
  <c r="J2" i="2"/>
  <c r="K2" i="2"/>
  <c r="L2" i="2"/>
  <c r="M2" i="2"/>
  <c r="N2" i="2"/>
  <c r="O2" i="2"/>
  <c r="P2" i="2"/>
  <c r="Q2" i="2"/>
  <c r="R2" i="2"/>
  <c r="A3" i="5"/>
  <c r="A4" i="5"/>
  <c r="A5" i="5"/>
  <c r="A6" i="5"/>
  <c r="A7" i="5"/>
  <c r="A8" i="5"/>
  <c r="A9" i="5"/>
  <c r="A10" i="5"/>
  <c r="A11" i="5"/>
  <c r="A12" i="5"/>
  <c r="A13" i="5"/>
  <c r="A14" i="5"/>
  <c r="A15" i="5"/>
  <c r="A16" i="5"/>
  <c r="A17" i="5"/>
  <c r="A18" i="5"/>
  <c r="A19" i="5"/>
  <c r="A4" i="4"/>
  <c r="A5" i="4"/>
  <c r="A6" i="4"/>
  <c r="A7" i="4"/>
  <c r="A8" i="4"/>
  <c r="A9" i="4"/>
  <c r="A10" i="4"/>
  <c r="A11" i="4"/>
  <c r="A12" i="4"/>
  <c r="A13" i="4"/>
  <c r="A14" i="4"/>
  <c r="A15" i="4"/>
  <c r="A16" i="4"/>
  <c r="A17" i="4"/>
  <c r="A18" i="4"/>
  <c r="A19" i="4"/>
  <c r="A20" i="4"/>
  <c r="A21" i="4"/>
  <c r="A22" i="4"/>
  <c r="A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tc={D513A03C-63B8-49CB-B723-862ED80B5C8F}</author>
  </authors>
  <commentList>
    <comment ref="A1" authorId="0" shapeId="0" xr:uid="{D513A03C-63B8-49CB-B723-862ED80B5C8F}">
      <text>
        <t xml:space="preserve">[Threaded comment]
Your version of Excel allows you to read this threaded comment; however, any edits to it will get removed if the file is opened in a newer version of Excel. Learn more: https://go.microsoft.com/fwlink/?linkid=870924
Comment:
    ghi ten người nhập lên web
</t>
      </text>
    </comment>
  </commentList>
</comments>
</file>

<file path=xl/sharedStrings.xml><?xml version="1.0" encoding="utf-8"?>
<sst xmlns="http://schemas.openxmlformats.org/spreadsheetml/2006/main" count="840" uniqueCount="538">
  <si>
    <t>Mẫu Thông Tin Dự Án</t>
  </si>
  <si>
    <t>Giá trị</t>
  </si>
  <si>
    <t>Thông tin</t>
  </si>
  <si>
    <t>1. Tên dự án:</t>
  </si>
  <si>
    <t>Nút giao Ngọc Hội</t>
  </si>
  <si>
    <t>Quy hoạch chi tiết xây dựng tỷ lệ 1/500 Đường Vành Đai 2, Thành phố Nha Trang</t>
  </si>
  <si>
    <t>Các tuyến đường, các nút giao thông kết nối khu sân bay Nha Trang (theo hình thức Xây dựng – Chuyển giao)</t>
  </si>
  <si>
    <t>Dự án thành phần đoạn Hoài Nhơn - Quy Nhơn thuộc Dự án xây dựng công trình đường bộ cao tốc Bắc - Nam phía Đông giai đoạn 2021 - 2025</t>
  </si>
  <si>
    <t>Dự án nâng cấp, mở rộng đường Quốc lộ 26B, tỉnh Khánh Hòa</t>
  </si>
  <si>
    <t>Dự án thành phần 1 thuộc Dự án xây dựng đường bộ cao tốc Khánh Hòa - Buôn Ma Thuột (giai đoạn 1)</t>
  </si>
  <si>
    <t>Tuyến đường Quốc lộ 19 (Đoạn từ cảng Quy Nhơn đến giao Quốc lộ 1A)</t>
  </si>
  <si>
    <t>Khu neo đậu tránh trú bão Sông Tắc kết hợp cảng cá Hòn Rớ</t>
  </si>
  <si>
    <t>Dự án Môi trường bền vững các Thành phố Duyên hải - Tiểu dự án Nha Trang</t>
  </si>
  <si>
    <t>2. Vị trí:</t>
  </si>
  <si>
    <t>Thành phố Nha Trang – Tỉnh Khánh Hòa</t>
  </si>
  <si>
    <t>Thành phố Nha Trang, tỉnh Khánh Hòa</t>
  </si>
  <si>
    <t>Thị xã Hoài Nhơn, huyện Hoài Ân, huyện Phù Mỹ, huyện Phù Cát, huyện Tây Sơn, thị xã An Nhơn thuộc tỉnh Bình Định</t>
  </si>
  <si>
    <t>Tuyến Quốc lộ 26B, tỉnh Khánh Hòa</t>
  </si>
  <si>
    <t>Thị xã Ninh Hòa, tỉnh Khánh Hòa</t>
  </si>
  <si>
    <t>Tỉnh Bình Định</t>
  </si>
  <si>
    <t>phường Nam Nha Trang, tỉnh Khánh Hòa</t>
  </si>
  <si>
    <t>phường Nha Trang, tỉnh Khánh Hòa</t>
  </si>
  <si>
    <t>3. Phân loại:</t>
  </si>
  <si>
    <t>Dự án hạ tầng giao thông – Nút giao thông</t>
  </si>
  <si>
    <t>Lập đồ án quy hoạch xây dựng  1-500</t>
  </si>
  <si>
    <t>Dự án hạ tầng giao thông – Đường &amp; nút giao</t>
  </si>
  <si>
    <t>Nhóm dự án: Công trình giao thông đường bộ, cấp I</t>
  </si>
  <si>
    <t>Dự án giao thông đường bộ</t>
  </si>
  <si>
    <t>Dự án xây dựng đường bộ cao tốc</t>
  </si>
  <si>
    <t>Dự án xây dựng đường quốc lộ</t>
  </si>
  <si>
    <t>Dự án môi trường / Hợp đồng tư vấn khảo sát.</t>
  </si>
  <si>
    <t>4. Chủ đầu tư:</t>
  </si>
  <si>
    <t>Công ty Cổ phần Tập đoàn Phúc Sơn</t>
  </si>
  <si>
    <t>Sở Giao thông Vận tải Khánh Hòa</t>
  </si>
  <si>
    <t>Ban Quản lý dự án 85</t>
  </si>
  <si>
    <t>Ban QLDA đầu tư xây dựng các công trình giao thông tỉnh Khánh Hòa</t>
  </si>
  <si>
    <t>BAN QUẢN LÝ DỰ ÁN ĐẦU TƯ XÂY DỰNG CÁC CÔNG TRÌNH GIAO THÔNG TỈNH KHÁNH HÒA</t>
  </si>
  <si>
    <t>Sở Giao thông vận tải Bình Định</t>
  </si>
  <si>
    <t>Sở Nông nghiệp và Phát triển nông thôn Khánh Hòa</t>
  </si>
  <si>
    <t>Ban Quản lý Dự án Phát triển tỉnh Khánh Hòa</t>
  </si>
  <si>
    <t>5. Quy mô:</t>
  </si>
  <si>
    <t>- Làm mới nút giao thông khác mức.
- Nhiều hệ thống liên quan: hạ tầng giao thông, cầu đường bộ vượt đường sắt, thoát nước, cấp điện, chiếu sáng, hàng rào…</t>
  </si>
  <si>
    <t>Không thấy thông tin.</t>
  </si>
  <si>
    <t>Tổng chiều dài tuyến: Khoảng 70,1 km.
Giai đoạn phân kỳ: Quy mô 04 làn xe, bề rộng nền đường 17,0m.
Giai đoạn hoàn chỉnh: Quy mô 06 làn xe, bề rộng nền đường 32,25m.
Cấp đường: Giai đoạn hoàn chỉnh là đường cao tốc cấp 120, vận tốc thiết kế 120 km/h.</t>
  </si>
  <si>
    <t>không</t>
  </si>
  <si>
    <t>Thi công xây dựng đoạn Km22+000 - Km32+000</t>
  </si>
  <si>
    <t>thiết kế đường và công trình thoát nước đoạn Km5+460 - Km15+441 )</t>
  </si>
  <si>
    <t>Khảo sát địa hình Khu vực đê kè và đường sông Cái</t>
  </si>
  <si>
    <t>6. Tổng mức đầu tư:</t>
  </si>
  <si>
    <t>1.378.875.233.000</t>
  </si>
  <si>
    <t>12.401,25 tỷ đồng</t>
  </si>
  <si>
    <t>2.078.444.909.000 đồng</t>
  </si>
  <si>
    <t>490.203.956 đồng</t>
  </si>
  <si>
    <t xml:space="preserve">   - Hiệu quả kinh tế:</t>
  </si>
  <si>
    <t>- Dự án được đánh giá có tính khả thi cao và mang lại hiệu quả kinh tế cho tỉnh Khánh Hòa.
- Nhà đầu tư nộp khoản chênh lệch BT cho Nhà nước:
1.215.694.559.000 – 1.210.259.881.000 = 5.434.678.000 đồng.</t>
  </si>
  <si>
    <t>Kết nối các trung tâm kinh tế, chính trị, các khu kinh tế, khu công nghiệp trọng yếu, đặc biệt là các vùng kinh tế trọng điểm. Tạo sức lan tỏa cao để thúc đẩy phát triển kinh tế - xã hội</t>
  </si>
  <si>
    <t xml:space="preserve">   - Hiệu quả xã hội:</t>
  </si>
  <si>
    <t>- Tăng cường lưu thông, giảm ùn tắc trong khu vực.
- Giảm tai nạn giao thông, tăng tốc độ lưu thông, tiết kiệm thời gian.
- Tạo điều kiện phát triển đô thị khu Tây Nha Trang.
- Thu hút khách du lịch trong nước và quốc tế.
- Góp phần giải quyết nguyện vọng của người dân về giao thông thuận tiện.</t>
  </si>
  <si>
    <t>Từng bước hoàn thiện hệ thống kết cấu hạ tầng đồng bộ với các công trình hiện đại. Góp phần thực hiện thắng lợi các mục tiêu, chiến lược phát triển kinh tế - xã hội đã được Đại hội Đại biểu toàn quốc lần thứ XIII của Đảng đề ra. Đảm bảo quốc phòng – an ninh.</t>
  </si>
  <si>
    <t xml:space="preserve">   - Hiệu quả môi trường:</t>
  </si>
  <si>
    <t>Dự án góp phần giảm ùn tắc, rút ngắn thời gian chờ, từ đó giảm phát thải khí thải và tiếng ồn giao thông, cải thiện rõ rệt chất lượng môi trường đô thị. Tạo điểm nhấn cho khu vực</t>
  </si>
  <si>
    <t>Dự án thực hiện bảo vệ môi trường theo Báo cáo đánh giá tác động môi trường đã được Bộ trưởng Bộ Tài nguyên và Môi trường phê duyệt tại Quyết định số 1287/QĐ-BTNMT ngày 16/6/2022</t>
  </si>
  <si>
    <t xml:space="preserve">   - Ngày khởi công:</t>
  </si>
  <si>
    <t>Không thấy thông tin trong tài liệu.</t>
  </si>
  <si>
    <t xml:space="preserve">   - Ngày hoàn thành:</t>
  </si>
  <si>
    <t xml:space="preserve">   - Cập nhật tình trạng dự án:</t>
  </si>
  <si>
    <t>tiếp tục triển khai giai đoạn 2</t>
  </si>
  <si>
    <t>Không thấy thông tin cập nhật tình trạng.</t>
  </si>
  <si>
    <t>Đang giai đoạn chuẩn bị đầu tư; đã ký hợp đồng tư vấn gói thầu 02 ngày 12/11/2024</t>
  </si>
  <si>
    <t>Trình tự</t>
  </si>
  <si>
    <t>thời gian</t>
  </si>
  <si>
    <t>Nội dung chính</t>
  </si>
  <si>
    <t>Chi tiết</t>
  </si>
  <si>
    <t>2006</t>
  </si>
  <si>
    <t>Thành lập công ty</t>
  </si>
  <si>
    <t>Công ty  Cổ phần Tư vấn T27 hình thành tại 38 Lý Tự Trọng, phường Nha Trang, tỉnh Khánh Hòa</t>
  </si>
  <si>
    <t>Thành lập chi  nhánh</t>
  </si>
  <si>
    <t>Mở rộng hoạt động tại Bình Định</t>
  </si>
  <si>
    <t>Thành lập phòng Thí nghiệm và kiểm tra CLCT</t>
  </si>
  <si>
    <t>Nâng cao năng lực kiểm định chất lượng</t>
  </si>
  <si>
    <t>Mở rộng phòng thiết kế</t>
  </si>
  <si>
    <t>2022 : quy hoạch sắp xếp lại các phòng ban / chi nhánh công ty .</t>
  </si>
  <si>
    <t>Thành lập phòng khảo sát &amp; thí nghiệm</t>
  </si>
  <si>
    <t>Tăng cường năng lực khảo sát hiện trường</t>
  </si>
  <si>
    <t>Thành lập trung tâm tvgs &amp; kđclct</t>
  </si>
  <si>
    <t>Hợp nhất Tư vấn Giám sát &amp; Kiểm định CLC</t>
  </si>
  <si>
    <t>STT</t>
  </si>
  <si>
    <t>Tên phòng</t>
  </si>
  <si>
    <t>Chức năng</t>
  </si>
  <si>
    <t>Phòng quản lý tài nguyên</t>
  </si>
  <si>
    <t>Phòng khảo sát</t>
  </si>
  <si>
    <t>Phòng thiết kế 1</t>
  </si>
  <si>
    <t>Phòng thiết kế 2</t>
  </si>
  <si>
    <t>Phòng thiết kế 3</t>
  </si>
  <si>
    <t>Tổ F&amp;B, nhà hàng, cafe</t>
  </si>
  <si>
    <t>thắng</t>
  </si>
  <si>
    <t>Tuấn</t>
  </si>
  <si>
    <t>Số thứ tự</t>
  </si>
  <si>
    <t>Tên dự án:</t>
  </si>
  <si>
    <t xml:space="preserve"> Đường Vành Đai 2, Thành phố Nha Trang</t>
  </si>
  <si>
    <t>Dự án: Xây dựng Đập ngăn mặn trên sông Cái Nha Trang</t>
  </si>
  <si>
    <t>Cầu qua sông Kim Bồng</t>
  </si>
  <si>
    <t>Đưong Nha Trang di Đa Lat, đoan Nha Trang - Dien Khanh (Cao Bá Quát - Cầu Lùng)</t>
  </si>
  <si>
    <t>Mo rong, cai tao nut giao thong tai khu vuc nga 5 Dong Da - Hoa Lư, thành phố Quy Nhơn</t>
  </si>
  <si>
    <t>Xây dựng hệ thống hạ tầng kỹ thuật Khu đô thị - Công viên - Trung tâm hành chính</t>
  </si>
  <si>
    <t>Dự án Thành phần 1: Trụ sở chung cho các sở, ban, ngành thuộc
UBND tỉnh; Trụ sở chung cho Uỷ ban Mặt trận tổ quốc Việt Nam
tỉnh, các tổ chức chính trị xã hội và Hội quần chúng cấp tỉnh do Đảng,
Nhà nước giao nhiệm vụ của tỉnh Khánh Hoà</t>
  </si>
  <si>
    <t>Gói thầu số 07: Tư vấn Khảo sát, lập thiết kế bản vẽ thi công và dự toán
xây dựng công trình (bao gồm mô hình thông tin công trình BIM) thuộc
dự án Nâng cấp, mở rộng đường Quốc lộ 26B, tỉnh Khánh Hòa.</t>
  </si>
  <si>
    <r>
      <rPr>
        <b/>
        <sz val="11"/>
        <color rgb="FF47D359"/>
        <rFont val="Cambria"/>
      </rPr>
      <t>Tổng quan</t>
    </r>
    <r>
      <rPr>
        <b/>
        <sz val="11"/>
        <color rgb="FFFF0000"/>
        <rFont val="Cambria"/>
      </rPr>
      <t xml:space="preserve"> (tầm 10 dòng đổ lại)</t>
    </r>
  </si>
  <si>
    <t>Công trình nằm  tại vị trí giao cắt giữa đường sắt Bắc Nam (lý trình: Km1312+815) với đường bộ, gồm 2 đường: đường 23/10 ( lý trình Km10) và đường Vành đai 2, thuộc địa phận hành chính của Thành phố Nha Trang.</t>
  </si>
  <si>
    <t>Dự án Đường vành đai 2( nhánh phía Nam) đi qua vùng đất bằng phẳng, dọc trên bờ đê tả sông Quán Trường (theo quy hoạch cũ là : đường số 1 khu tây lê Hồng Phong ) tuyến đi qua các Dự án như : khu đô thị An Bình Tân; Khu đô thị VCN – Phước Long, khu đô thị Hà Quang I; Khu đô thị VCN – Phước Hải; khu đô thị Hà Quang II; khu đô thị Vĩnh Điềm Trung.</t>
  </si>
  <si>
    <t>Khu sân bay Nha Trang cũ đã được quy hoạch xây dựng thành khu trung tâm mới – cực phát triển đô thị cửa ngõ phía Tây Nam thành phố Nha Trang, kết nối phần đô thị phía Bắc – Nam. Khu đô thị mới có chức năng tổng hợp về thương mại, dịch vụ, tài chính, du lịch, văn hóa và nhà ở sẽ thu hút khách du lịch, các công ty, tổ chức quốc tế đến du lịch, làm việc, giải trí và góp phần thúc đẩy phát triển kinh tế - xã hội của thành phố Nha Trang.
Sau khi dự án hạ tầng kỹ thuật khung Khu trung tâm đô thị Thương mại – Dịch vụ – Tài chính – Du lịch Nha Trang được UBND tỉnh Khánh Hòa phê duyệt tháng 3/2017, các nhà đầu tư đang thực hiện đầu tư xây dựng cơ sở hạ tầng khu trung tâm đô thị, dự án sau khi được xây dựng có thể trở thành khu trung tâm mới của thành phố Nha Trang.
Vì vậy, dự án các tuyến đường, các nút giao thông kết nối với khu sân bay Nha Trang là cần thiết để đảm bảo sự kết nối đồng bộ hạ tầng kỹ thuật của khu vực dự án sân bay đang được xây dựng với khu vực phía Tây Nam thành phố Nha Trang.</t>
  </si>
  <si>
    <t>Hoàn thành đưa vào khai thác đồng bộ tuyến đường bộ cao tốc Bắc – Nam phía Đông; kết nối các trung tâm kinh tế, chính trị, các khu kinh tế, khu công nghiệp trọng yếu, đặc biệt là các vùng kinh tế trọng điểm; từng bước hoàn thiện hệ thống kết cấu hạ tầng đồng bộ với các công trình hiện đại, tạo sức lan tỏa cao để thúc đẩy phát triển kinh tế – xã hội và bảo đảm quốc phòng – an ninh; góp phần thực hiện thắng lợi các mục tiêu, chiến lược phát triển kinh tế – xã hội đã được Đại hội Đại biểu toàn quốc lần thứ XIII của Đảng đề ra.</t>
  </si>
  <si>
    <t>Nâng cấp mở rộng đường QL26B tỉnh khánh hòa kết nối cao tốc KH-BMT đến cảng nam vân phong, tăng cường thêm trục ngang kết nối tuyến đường bộ cao tốc Bắc - Nam phía đông, hình thành mạng lưới đường bộ hoàn chỉnh đáp ứng nhu cầu vận tải và đảm bảo sự giao lưu nhanh chóng, cảng biển nam vân phong , từng bước hoàn chỉnh công trình hạ tầng giao thông thiết yếu trong khu vực theo quy hoạch đã phê duyệt, thu hút đầu tư, phát triển kinh tế - xã hội, nâng cao đời sống nhân dân, đảm bảo an ninh quốc phòng, phục vụ phát triển kinh tế tại khu kinh tế vân phong nói riêng và góp phần tạo liên kết vùng và động lực phát triển mạnh cho vùng tây nguyên và duyên hải nam trung bộ nói chung.</t>
  </si>
  <si>
    <r>
      <rPr>
        <sz val="11"/>
        <color rgb="FF000000"/>
        <rFont val="Aptos Narrow"/>
        <scheme val="minor"/>
      </rPr>
      <t xml:space="preserve">Quy hoạch mạng lưới đường bộ thời kỳ 2021–2030, tầm nhìn đến năm 2050 được Thủ tướng Chính phủ phê duyệt tại Quyết định số </t>
    </r>
    <r>
      <rPr>
        <b/>
        <sz val="11"/>
        <color rgb="FF000000"/>
        <rFont val="Aptos Narrow"/>
        <scheme val="minor"/>
      </rPr>
      <t>1454/QĐ-TTg ngày 01/9/2021</t>
    </r>
    <r>
      <rPr>
        <sz val="11"/>
        <color rgb="FF000000"/>
        <rFont val="Aptos Narrow"/>
        <scheme val="minor"/>
      </rPr>
      <t xml:space="preserve">: tuyến cao tốc Khánh Hòa – Buôn Ma Thuột có chiều dài khoảng </t>
    </r>
    <r>
      <rPr>
        <b/>
        <sz val="11"/>
        <color rgb="FF000000"/>
        <rFont val="Aptos Narrow"/>
        <scheme val="minor"/>
      </rPr>
      <t>130 km</t>
    </r>
    <r>
      <rPr>
        <sz val="11"/>
        <color rgb="FF000000"/>
        <rFont val="Aptos Narrow"/>
        <scheme val="minor"/>
      </rPr>
      <t xml:space="preserve">, điểm đầu tại Cảng Vân Phong, Khánh Hòa và điểm cuối tại cao tốc Bắc – Nam phía Tây, TP Buôn Ma Thuột, Đắk Lắk; quy mô quy hoạch </t>
    </r>
    <r>
      <rPr>
        <b/>
        <sz val="11"/>
        <color rgb="FF000000"/>
        <rFont val="Aptos Narrow"/>
        <scheme val="minor"/>
      </rPr>
      <t>4 làn xe</t>
    </r>
    <r>
      <rPr>
        <sz val="11"/>
        <color rgb="FF000000"/>
        <rFont val="Aptos Narrow"/>
        <scheme val="minor"/>
      </rPr>
      <t>, tiến trình đầu tư trước năm 2030.</t>
    </r>
  </si>
  <si>
    <t>5.3. Công thoát nước dọc:
Trong phạm vi đoạn tuyến Km5+460 – Km6+422, thiết kế hệ thống thoát nước dọc nằm dưới hè phố 2 bên đường của giai đoạn hoàn thiện. Cống xây dựng bằng ống cống bê tông ly tâm, tải trọng thiết kế H10 cho cống đi trên vỉa hè và H30 cho đoạn cống đi dưới mặt đường.
Bố trí các ga thăm dọc tuyến cống để đấu nối với các ga thu trong tương lai (các ga thu xây dựng ở giai đoạn 2 của dự án). Có thiết kế 03 tuyến ngang nằm phía dưới hệ thống cống dọc đoạn Km5+460 – Km6+422, khẩu độ tuyến B×H = 2m×2m.
5.4. Công thoát nước ngang:
Các cống ngang tưới tiêu tại các mương thủy lợi và các cống ngang thoát lũ được thiết kế nhằm đảm bảo khả năng hoạt động bình thường của hệ thống thủy lợi và đảm bảo khả năng thoát lũ của khu vực. Cống hộp lớn số lượng 12 cái, kết cấu:
Cống xây dựng vĩnh cửu bằng BTCT;
Tải trọng thiết kế H30 – XB80, HL93;
Khẩu độ thoát nước đảm bảo theo yêu cầu tưới tiêu của địa phương và đảm bảo khả năng thoát lũ.
5.5. Đường giao, cống chui dân sinh:
Tại các vị trí tuyến chính cắt ngang các đường dân sinh, thiết kế vuốt nối nền đường tuyến chính với các đường dân sinh hiện tại để đảm bảo điều kiện đi lại, sinh hoạt của nhân dân trong khu vực.
Xây dựng 01 cống chui dân sinh khẩu độ B×H = 6,5m × 3,2m tại Km9+165,2 (là nơi vị trí tuyến chính cắt qua đường bê tông nối các khu dân cư xã Phước Thuận ra đường đê sông Hà Thanh).
5.6. Nút giao:
Thiết kế nút giao bằng với tuyến ĐT640 tại Km 11+586,63 dạng ngã 4 và giao với QL19 cũ tại Km15+441 dạng ngã 3, chỉ xây dựng nền đường nút giao.
Giai đoạn 1 chỉ đắp giáp vai đường ĐT640 (đắp nền đến cao độ lớp K95), giữ nguyên mặt đường hiện trạng để thông xe.</t>
  </si>
  <si>
    <t>Khu vực dự án có địa hình chủ yếu là phần mặt nước ven sông Tắc, thuộc xã Phước Đồng, TP Nha Trang. Phần mặt nước sông Tắc có độ sâu tối đa là khoảng 5,0m. Phần mặt đất tại vị trí lập quy hoạch có cao độ tối đa khoảng  4,0m.</t>
  </si>
  <si>
    <t>Đường phía Nam sông Cái:
Đoạn 1 bắt đầu từ đường 2/4 (lý trình Km7 - QL1C) đến ngã ba giao đường số 24. Đoạn này có chỉ giới 28m, dài 321m:
Mặt đường rộng 7×2 = 14m, vỉa hè rộng 5 + 7 = 12m, dải phân cách giữa rộng 2m.
Đoạn 2 bắt đầu từ ngã ba giao đường số 24 đến ngã tư giao đường số 24 – đường số 13 (chân cầu vượt đường sắt).
Đoạn này có chỉ giới 21m, dài 1190m:
Mặt đường rộng 6,5×2 = 13m, vỉa hè rộng 4×2 = 8m.
Đoạn 3 bắt đầu từ chân cầu vượt, tách thành 2 nhánh nối vào đường Vành đai 2. Một phần diện tích giữa 2 tuyến được thiết kế làm bãi đỗ xe:
Nhánh bên trái dài 371m: Mặt đường rộng 3,5×2 = 7m, vỉa hè rộng 3×2 = 6m.
Nhánh bên phải dài 371,5m: Mặt đường rộng 3,5×2 = 7m, vỉa hè trái bên không có, vỉa hè bên phải rộng 3m.
Đoạn 4: Tuyến phụ bắt đầu từ cọc G7 (Km1+560) trên tuyến chính nối vào đập ngăn mặn, toàn tuyến dài 422,5m gồm 2 đoạn có chỉ giới 10,35m và 13m:
Đoạn đầu nối từ cọc G7 đến cọc G1-N dài 227,4m có chỉ giới 10,35m:
Mặt đường rộng 3,5×2 = 7m, vỉa hè trái không có, vỉa hè phải rộng 3m.
Đoạn từ cọc G1-N đến cuối tuyến dài 195,2m có chỉ giới 13m:
Mặt đường rộng 3,5×2 = 7m, vỉa hè rộng 3×2 = 6m.</t>
  </si>
  <si>
    <t>Kết hợp giao thông qua sông Cái theo đường vành đai 2, cải thiện điều kiện giao thông, tạo động lực phát triển kinh tế - xã hội cho thành phố Nha Trang;
Giữ mực nước cải tạo môi trường sinh thái và phục vụ giao thông thuỷ, phát triển du lịch dọc sông Cái;
Điều tiết một phần dòng chảy sang phía sông Tắc, sông Quán Trường để cải tạo môi trường đô thị cho phía Tây và Nam thành phố.</t>
  </si>
  <si>
    <t>-	Công trình nằm tại vị trí cửa Sông Kim Bồng đổ ra Sông Cái nằm trên tuyến đường phía Nam sông Cái theo Quy hoạch chi tiết tỷ lệ 1/500 Khu dân cư khu vực sông Kim Bồng và Quy hoạch chi tiết tỷ lệ 1/500 Khu dân cư dọc bờ sông Cái.</t>
  </si>
  <si>
    <t>Tuyến đường Nha Trang đi Đà Lạt ngoài chức năng là tuyến đường trục liên tỉnh phục vụ chia sẻ lưu lượng giao thông cho các đường 23/10 và đường Trần Phú 3, nó còn là trục đường trong yếu trong khu đô thị mới Tây Lê Hồng Phong.
Cầu Quán Trường nằm trên đoạn 1 của dự án đoạn từ Nha Trang đi Diên Khánh (đoạn Cao Bá Quát – Cầu Lùng). Cầu vượt qua sông Quán Trường tại Km0+979.3 – lý trình dự án, thuộc địa phận phường Phước Hải và xã Vĩnh Thái, thành phố Nha Trang.</t>
  </si>
  <si>
    <t>Góp phần hoàn thiện Quy hoạch tỉnh Bình Định thời kỳ 2021 – 2030, tầm nhìn đến năm 2050 đã được Thủ tướng Chính phủ phê duyệt tại Quyết định số 1619/QĐ-TTg ngày 14/12/2023.
Dự án hình thành sẽ giải quyết được ách tắc giao thông tại khu vực nút giao, phù hợp với vị trí cửa ngõ ra vào trung tâm thành phố Quy Nhơn.</t>
  </si>
  <si>
    <t>Xây dựng hệ thống kết cấu hạ tầng kỹ thuật đồng bộ, hiện đại, đáp ứng yêu cầu phát triển Khu đô thị - công viên – trung tâm hành chính, hình thành khu vực phát triển mới về phía Tây thành phố Nha Trang, góp phần thúc đẩy phát triển kinh tế - xã hội của tỉnh Khánh Hòa.</t>
  </si>
  <si>
    <t>Đầu tư xây dựng mới một Khu liên hợp gồm Trụ sở các cơ quan thuộc UBND tỉnh Khánh Hòa:
 - Cơ quan hành chính, quản lý nhà nước thuộc tỉnh: Ban Dân tộc, 17 cơ quan chuyên môn (Sở Công thương, Sở Du lịch, Sở Giáo dục và Đào tạo, Sở Giao thông vận tải, Sở Kế hoạch và Đầu tư, Sở Khoa học và Công nghệ, Sở Lao động - Thương binh và Xã hội, Sở Ngoại vụ, Sở Nội vụ, Sở Nông nghiệp và Phát triển nông thôn, Sở Tài chính, Sở Tài nguyên và Môi trường, Sở Tư pháp, Sở Thông tin và Truyền thông, Sở Văn hoá và Thể thao, Sở Xây dựng, Sở Y tế);</t>
  </si>
  <si>
    <t>Dự án nâng cấp, mở rộng đường Quốc lộ 26B, tỉnh Khánh Hòa kết nối cao tốc Khánh Hòa - Buôn Ma Thuột đến cảng Nam Vân Phong, đáp ứng nhu cầu vận tải và đảm bảo sự giao lưu nhanh chóng, thuận tiện và an toàn giữa các khu vực chức năng; phát triển khu công nghiệp, cảng biển Nam Vân Phong, từng bước hoàn chỉnh công trình hạ tầng giao thông thiết yếu trong khu vực theo quy hoạch đã duyệt, thu hút đầu tư, phát triển kinh tế - xã hội, nâng cao đời sống nhân dân, đảm bảo an ninh quốc phòng, phục vụ phát triển kinh tế tại khu vực phía Nam Khu kinh tế Vân Phong nói riêng và Khu kinh tế Vân Phong tỉnh Khánh Hòa nói chung.</t>
  </si>
  <si>
    <t>Loại, cấp công trình</t>
  </si>
  <si>
    <t xml:space="preserve">Cấp công trình giao thông: Cấp II
</t>
  </si>
  <si>
    <t>Cấp công trình giao thông: Cấp III</t>
  </si>
  <si>
    <t>Cấp công trình giao thông: Cấp I</t>
  </si>
  <si>
    <t>Cấp công trình giao thông: Cấp II</t>
  </si>
  <si>
    <t>Cấp công trình giao thông: Cấp IV</t>
  </si>
  <si>
    <t>Công trình NN và PTNT cấp III</t>
  </si>
  <si>
    <t>Cấp công trinh: cấp III</t>
  </si>
  <si>
    <t>Cấp công trinh: cấp II</t>
  </si>
  <si>
    <t>Cấp công trinh: nhóm B</t>
  </si>
  <si>
    <t>Công trình cấp II</t>
  </si>
  <si>
    <t>Tổng mức đầu tư</t>
  </si>
  <si>
    <t>khoảng 1350 tỷ đồng</t>
  </si>
  <si>
    <t>Khoảng 1583 tỷ đồng</t>
  </si>
  <si>
    <t>Khoảng 206 tỷ</t>
  </si>
  <si>
    <t>Khoảng 12.401 tỷ đồng</t>
  </si>
  <si>
    <t>Khoảng 552 tỷ đồng</t>
  </si>
  <si>
    <t>Khoàng 2.176 tỷ đồng</t>
  </si>
  <si>
    <t>Khoảng 1.790 tỷ đồng</t>
  </si>
  <si>
    <t>Khoảng 250 tỷ đồng</t>
  </si>
  <si>
    <t>Khoảng 248 tỷ đồng</t>
  </si>
  <si>
    <t>Khoảng 745 tỷ đồng</t>
  </si>
  <si>
    <t>Khoảng 131 tỷ đồng</t>
  </si>
  <si>
    <t>Khoảng 1.242 tỷ đồng</t>
  </si>
  <si>
    <t>Khoảng 513 tỷ đồng</t>
  </si>
  <si>
    <t>Khoảng 654 tỷ đồng</t>
  </si>
  <si>
    <t>Khoảng 495 triệu đồng</t>
  </si>
  <si>
    <t>Khoảng 553 tỷ đồng</t>
  </si>
  <si>
    <t>Địa điểm thực hiện</t>
  </si>
  <si>
    <t>TP. Nha Trang - tỉnh Khánh Hòa</t>
  </si>
  <si>
    <t>Phường Ninh Hòa, Đông Ninh Hòa, xã Bắc Ninh Hòa, tỉnh Khánh Hòa</t>
  </si>
  <si>
    <t>Phường Ninh Hòa, tỉnh Khánh Hòa</t>
  </si>
  <si>
    <t>TP. Quy nhơn và huyện tuy phước, tỉnh Bình Định</t>
  </si>
  <si>
    <t>TP .Nha Trang và huyện Diên khánh</t>
  </si>
  <si>
    <t>TP. Quy nhơn - tỉnh BĐ</t>
  </si>
  <si>
    <t>Xã vĩnh thái, tp, nha trang, khánh hòa</t>
  </si>
  <si>
    <t>Thị xã Ninh Hòa, Khánh Hòa</t>
  </si>
  <si>
    <t>Chủ đầu tư</t>
  </si>
  <si>
    <t>Ban QLDA Đầu tư xây dựng các công trình Nông Nghiệp và Phát Triển Nông Thôn</t>
  </si>
  <si>
    <t>Công Ty CP Tập đoàn Phúc Sơn</t>
  </si>
  <si>
    <t>Ban QLDA 85</t>
  </si>
  <si>
    <t>Ban QLDA ĐTXD các công trình Nông nghiệp và Giao thông tỉnh Khánh Hòa</t>
  </si>
  <si>
    <t>Sở GTVT Bình Định</t>
  </si>
  <si>
    <t>Sở Nông nghiệp và Môi trường tỉnh Khánh Hòa</t>
  </si>
  <si>
    <t>Ban QLDA Phát triển tỉnh khánh hòa</t>
  </si>
  <si>
    <t>Ban QLDA các CTGT và thủy lợi</t>
  </si>
  <si>
    <t>Ban QLDA các CTGT và Dân dụng tỉnh BĐ</t>
  </si>
  <si>
    <t>Hợp đồng</t>
  </si>
  <si>
    <t>Số 89D/2016/HĐTV</t>
  </si>
  <si>
    <t>Số 22/2016/HĐKT-T27</t>
  </si>
  <si>
    <t>Số 07/2017/PS-HĐTV</t>
  </si>
  <si>
    <t>Số 05/2022/HĐKT-HN.QN</t>
  </si>
  <si>
    <t>Số 03/2024/HĐTV-QL26B</t>
  </si>
  <si>
    <t>Số 26/2023/HĐTV</t>
  </si>
  <si>
    <t>Số 16/2013/HĐ-TVXD</t>
  </si>
  <si>
    <t>Số 14/2023/HĐTV/KNĐ ST-HR</t>
  </si>
  <si>
    <t>Hợp đồng số 04/2019/HĐTV</t>
  </si>
  <si>
    <t>Số: 07/2020/HĐTV/T27</t>
  </si>
  <si>
    <t>Số 01/2014/HĐ-T27</t>
  </si>
  <si>
    <t>Số 87/2025/HĐ-TVXD</t>
  </si>
  <si>
    <t>Số 27/2025/HĐTV-BIM</t>
  </si>
  <si>
    <t>Số 08/2025/HĐTV-QL26B</t>
  </si>
  <si>
    <t>Hình ảnh minh họa cho dự án</t>
  </si>
  <si>
    <t>gửi link trên NAS</t>
  </si>
  <si>
    <t>X:\17. Website cong ty\Thong tin T27</t>
  </si>
  <si>
    <t>X:\17. Website cong ty\Thong tin T27\Hinh anh du an\2. QH chi tiet xay dung VD2</t>
  </si>
  <si>
    <t>X:\17. Website cong ty\Thong tin T27\Hinh anh du an\3. Cac tuyen duong, cac nut giao thong ket noi SBNT</t>
  </si>
  <si>
    <t>X:\17. Website cong ty\Thong tin T27\Hinh anh du an\5. Nang cap. mo rong QL26B</t>
  </si>
  <si>
    <t>X:\17. Website cong ty\Thong tin T27\Hinh anh du an\8. Khu neo dau tranh tru bao</t>
  </si>
  <si>
    <t>Link video trên NAS</t>
  </si>
  <si>
    <t>X:\17. Website cong ty\Thong tin T27\Hinh anh du an\6. Cao toc KH-BMT\Video</t>
  </si>
  <si>
    <t>Mục tiêu &amp; Lợi ích</t>
  </si>
  <si>
    <t>Giải quyết ùn tắc giao thông: Xóa bỏ điểm giao cắt giữa đường sắt Bắc-Nam và đường 23 tháng 10, khu vực thường xuyên ùn ứ giao thông vào giờ cao điểm
Kết nối giao thông vùng: Tạo tuyến giao thông mới từ hướng Bắc-Nam không qua trung tâm thành phố, kết nối khu vực phía Tây TP Nha Trang với đường 23 tháng 10
Phát triển kinh tế-xã hội: Tạo động lực phát triển kinh tế-xã hội cho TP Nha Trang và các khu vực lân cận, là điểm kết nối quan trọng với đường Vành đai 2
Nâng cao an toàn giao thông: Phân luồng giao thông hiệu quả, giảm tai nạn tại khu vực giao cắt đường sắt</t>
  </si>
  <si>
    <t>Điểm nổi bật</t>
  </si>
  <si>
    <t>Quy mô lớn: Tổng mức đầu tư hơn 1.350 tỷ đồng, một trong những dự án giao thông trọng điểm của tỉnh Khánh Hòa
Công trình nút giao khác mức 4 nhánh: Gồm cầu vòng xuyến trên cao và 4 nhánh cầu vượt (N1, N2, N3, N4) kết nối theo 4 hướng, tạo thành hình tròn trên cao
Hình thức BT (Build-Transfer): Dự án được thực hiện theo hợp đồng xây dựng-chuyển giao, thanh toán bằng quỹ đất Khu sân bay Nha Trang cũ (~5,29ha)
Vị trí chiến lược: Nằm tại điểm giao giữa đường sắt Bắc-Nam với các trục đường chính 23 tháng 10 và 19 tháng 5, kết nối với đường Vành đai 2</t>
  </si>
  <si>
    <t>Tiến độ và kết qủa</t>
  </si>
  <si>
    <t>Thời gian thực hiện:
Khởi công: Quý IV/2017
Dự kiến hoàn thành ban đầu: Tháng 11/2019 (24 tháng)
Đã điều chỉnh gia hạn: 5 lần (đến tháng 4/2026)
Kết quả đạt được:
Tháng 9/2023: Chính thức thông xe 3/4 nhánh (N1, N2, N3) và vòng xuyến trên cao, đạt 79% khối lượng
Hiện trạng: 38/43 trụ cầu hoàn thành (88%), đã đưa vào khai thác phục vụ giao thông
Tồn tại:
Nhánh N4 (phía Bắc) chưa thi công do vướng giải phóng mặt bằng (chỉ bàn giao 56% diện tích)
Dự án tạm dừng từ tháng 2/2024, tái khởi động từ tháng 3/2025</t>
  </si>
  <si>
    <t>Số chuyên gia tham gia</t>
  </si>
  <si>
    <t>- 07 chủ trì
- 51 cán bô kỹ thuật</t>
  </si>
  <si>
    <t>- 06 chủ trì
- 33 cán bô kỹ thuật</t>
  </si>
  <si>
    <t>- 06 chủ trì
- 10 cán bô kỹ thuật</t>
  </si>
  <si>
    <t>- 05 chủ trì
- 46 cán bô kỹ thuật</t>
  </si>
  <si>
    <t>- 14 chủ trì
- 26 cán bô kỹ thuật</t>
  </si>
  <si>
    <t>- 07 chủ trì
- 43 cán bô kỹ thuật</t>
  </si>
  <si>
    <t>- 03 chủ trì
- 22 cán bô kỹ thuật</t>
  </si>
  <si>
    <t>- 08 chủ trì
- 21 cán bô kỹ thuật</t>
  </si>
  <si>
    <t>- 06 chủ trì
- 04 cán bô kỹ thuật</t>
  </si>
  <si>
    <t>- 05 chủ trì
- 04 cán bô kỹ thuật</t>
  </si>
  <si>
    <t>- 06 chủ trì
- 05 cán bô kỹ thuật</t>
  </si>
  <si>
    <t>Thời gian thiết kế</t>
  </si>
  <si>
    <t>- Bước đề xuất dư án: 45 ngày
- Bước dự án: 60 ngày
- Bước TKBVTC : 50 ngày</t>
  </si>
  <si>
    <t>- Bước đề xuất dư án: 10 ngày
- Bước dự án: 40 ngày
- Bước TKBVTC : 40 ngày</t>
  </si>
  <si>
    <t>Lập báo cáo NCKT và TKCS: 90 ngày</t>
  </si>
  <si>
    <t>Lập thiết kế kỹ thuật: 90 ngày</t>
  </si>
  <si>
    <t xml:space="preserve">- Bước lập báo cáo NCKT: 30 ngày
- Bước thiết kế BVTC: 45 ngày </t>
  </si>
  <si>
    <t>- Bước dư án: 90 ngày
- Bước TKKT: 60 ngày
- Bước TKBVTC : theo tiến độ thi công</t>
  </si>
  <si>
    <t>lập thiết kế BVTC: 60 ngày</t>
  </si>
  <si>
    <t>- Bước NCKT: 74 ngày
- Bước TKBVTC : 150 ngày</t>
  </si>
  <si>
    <t xml:space="preserve">
- Bước TKBVTC : 10 tháng</t>
  </si>
  <si>
    <t xml:space="preserve">
- Bước TKBVTC : 180 ngày</t>
  </si>
  <si>
    <t>- Bước NCKT: 30 ngày
- Bước TKBVTC : 90 ngày</t>
  </si>
  <si>
    <t>Họ tên</t>
  </si>
  <si>
    <t>Phân loại chuyên gia</t>
  </si>
  <si>
    <t>Chức vụ</t>
  </si>
  <si>
    <t>Chứng chỉ</t>
  </si>
  <si>
    <t>Kinh nghiệm</t>
  </si>
  <si>
    <t>Chuyên môn:</t>
  </si>
  <si>
    <t xml:space="preserve">Kỹ năng phần mềm </t>
  </si>
  <si>
    <t>Dự án tiêu biểu:</t>
  </si>
  <si>
    <t>Thành tích nổi bật:</t>
  </si>
  <si>
    <r>
      <rPr>
        <b/>
        <sz val="14"/>
        <color rgb="FFFF0000"/>
        <rFont val="Aptos Narrow"/>
        <scheme val="minor"/>
      </rPr>
      <t xml:space="preserve">Hình ảnh cá nhân để trong NAS
</t>
    </r>
    <r>
      <rPr>
        <b/>
        <sz val="14"/>
        <color rgb="FFD86DCD"/>
        <rFont val="Aptos Narrow"/>
        <scheme val="minor"/>
      </rPr>
      <t>X:\17. Website cong ty\Thong tin T27\Hinh anh chuyen gia</t>
    </r>
  </si>
  <si>
    <t>Trần Nguyễn Khánh Huy</t>
  </si>
  <si>
    <t>Chuyên gia Khảo sát Thiết kế</t>
  </si>
  <si>
    <t>Phó giám đốc</t>
  </si>
  <si>
    <t>Chứng chỉ khảo sát, thiết kế, giám sát hạng I</t>
  </si>
  <si>
    <t>22 năm trong lĩnh vực thiết kế, giám sát</t>
  </si>
  <si>
    <t>Thiết kế đường, khu dân cư</t>
  </si>
  <si>
    <t>Autocad, Office</t>
  </si>
  <si>
    <t>Nguyễn Ngọc Anh</t>
  </si>
  <si>
    <t>Giám đốc</t>
  </si>
  <si>
    <t>17 năm trong lĩnh vực thiết kế, khảo sát, giám sát</t>
  </si>
  <si>
    <t>Khảo sát, thiết kế công trình giao thông (đường bộ)</t>
  </si>
  <si>
    <t>- Cao tốc Khánh Hòa - Buôn Ma Thuột.
- Cao tốc Quy Nhơn - Bleiku
- Nút giao Ngọc Hội
- Vành đai 2; QL26B</t>
  </si>
  <si>
    <t>Trần Thế Khang</t>
  </si>
  <si>
    <t>Chứng chỉ thiết kế giao thông hạng 2, giám sát giao thông hạng 3</t>
  </si>
  <si>
    <t>10 năm trong lĩnh vực thiết kế</t>
  </si>
  <si>
    <t>Thiết kế các công trình cầu, kè, bến cảng.</t>
  </si>
  <si>
    <t>Autocad, Revit, Civil 3D, Navisworks, Infrawork, Canva</t>
  </si>
  <si>
    <t>- Cao tốc Khánh Hòa - Buôn Ma Thuột.
- Cao tốc Quy Nhơn - Pleiku
- Nút giao Ngọc Hội
- Khu neo đậu tránh trú bão Hòn Rớ</t>
  </si>
  <si>
    <t>"X:\17. Website cong ty\Thong tin T27\Hinh anh chuyen gia\TRAN THE KHANG.jpg"</t>
  </si>
  <si>
    <t>Nguyễn Công Dũng</t>
  </si>
  <si>
    <t>Phó Giám đốc</t>
  </si>
  <si>
    <t>Chứng chỉ thiết kế, giám sát  đường bộ hạng 1, thiết kế giám sát cầu hạng II</t>
  </si>
  <si>
    <t>21 năm trong lĩnh vực thiết kế, giám sát</t>
  </si>
  <si>
    <t>Thiết kế các công trình cầu, đường bộ</t>
  </si>
  <si>
    <t>Tuyến đường QL19 đoạn từ cảng Quy Nhơn đến giao Quốc lộ 1A</t>
  </si>
  <si>
    <t>Nguyễn Đình Châu</t>
  </si>
  <si>
    <t>Chứng chỉ thiết kế, giám sát cầu, đường bộ hạng 1</t>
  </si>
  <si>
    <t>17 năm trong lĩnh vực thiết kế, giám sát</t>
  </si>
  <si>
    <t>- Cao tốc Khánh Hòa - Buôn Ma Thuột</t>
  </si>
  <si>
    <t>Dương Hoàng Phương Ly</t>
  </si>
  <si>
    <t>Phó phòng thiết kế</t>
  </si>
  <si>
    <t>Chứng chỉ thiết kế giao thông hạng 2</t>
  </si>
  <si>
    <t>16 năm trong lĩnh vực thiết kế</t>
  </si>
  <si>
    <t>Thiết kế các công trình cầu</t>
  </si>
  <si>
    <t>X:\17. Website cong ty\Thong tin T27\Hinh anh chuyen gia\Duong Hoang Phuong Ly.jpg</t>
  </si>
  <si>
    <t>Bùi Hoàng Quỳnh Lam</t>
  </si>
  <si>
    <t>Chứng chỉ thiết kế công trình đường bộ hạng 1</t>
  </si>
  <si>
    <t>14 năm trong lĩnh vực thiết kế</t>
  </si>
  <si>
    <t>Thiết kế công trình đường bộ</t>
  </si>
  <si>
    <t>Autocad, Civil 3D, Navisworks, Infrawork, Anddesgin</t>
  </si>
  <si>
    <t>Cao tốc Hoài Nhơn - Quy Nhơn
Cao tốc Khánh Hòa - Buôn Ma Thuộc</t>
  </si>
  <si>
    <t>Trương Quang Thắng</t>
  </si>
  <si>
    <t>Nhân viên</t>
  </si>
  <si>
    <t>Thiết kế đường, khu dân cư, nút giao thông</t>
  </si>
  <si>
    <t>Civil 3D, Navisworks, Infrawork, Visual Studio ...</t>
  </si>
  <si>
    <t>- Nút giao Ngọc Hội
- Đường gom dọc Quốc Lộ 1
- Cao tốc Khánh Hòa - Buôn Ma Thuộc</t>
  </si>
  <si>
    <t>X:\17. Website cong ty\Thong tin T27\Hinh anh chuyen gia\Trương Quang Thắng.bmp</t>
  </si>
  <si>
    <t>Lương Tấn An</t>
  </si>
  <si>
    <t xml:space="preserve">Chứng chỉ thiết kế cầu, đường bộ hạng 2
Chứng chỉ khảo sát, giám sát, định giá hạng 3
</t>
  </si>
  <si>
    <t xml:space="preserve">Kinh nghiệm 7 năm trong lĩnh vực thiết kế.
</t>
  </si>
  <si>
    <t>- Thiết kế công trình cầu, đường bộ. 
- Tính toán thủy văn công trình giao thông.
- Phối cảnh diễn họa công trình.</t>
  </si>
  <si>
    <t>Autocad, Revit, Civil 3D, Naviswoks, Infrawork, Twin, Lumion,...</t>
  </si>
  <si>
    <t>- Cao tốc Hoài Nhơn Quy Nhơn
- Cao tốc Nha Trang - Buôn Ma Thuộc
- Cao tốc Quy Nhơn - Pleiku
- Nâng cấp mở rộng QL26B</t>
  </si>
  <si>
    <t>- Giải nhì Thiết kế kiến trúc công trình cầu Phú Kiểng.
- Giải đồng Vinh danh tập thể có Giải pháp công nghệ đột phá trong đồ án Thiết kế kiến trúc công trình cầu.</t>
  </si>
  <si>
    <t>X:\17. Website cong ty\Thong tin T27\Hinh anh chuyen gia\Lương Tấn An.jpg</t>
  </si>
  <si>
    <t>Võ Đình Khôi</t>
  </si>
  <si>
    <t xml:space="preserve">Kinh nghiệm 8 năm trong lĩnh vực thiết kế.
</t>
  </si>
  <si>
    <t>Autocad, Infrawork, Anddesgin</t>
  </si>
  <si>
    <t>- Cao tốc Khánh Hòa - Buôn ma thuột
- Đường giao thông ngoài cảng Vân Phong</t>
  </si>
  <si>
    <t>X:\17. Website cong ty\Thong tin T27\Hinh anh chuyen gia\VoDinhKhoi.jpg</t>
  </si>
  <si>
    <t>Phan Hồng Nhật</t>
  </si>
  <si>
    <t>Kinh nnghiệm 16 năm trong lĩnh vực thi công, thí nghiệm vật liệu, thiết kế</t>
  </si>
  <si>
    <t>Autocad, Anddesgin</t>
  </si>
  <si>
    <t>- Tu bổ, tôn tạo di tích thành cổ Diên Khánh
- Cao tốc Khánh Hòa - Buôn ma thuột
- Đường giao thông ngoài cảng Vân Phong - Giai đoạn 2</t>
  </si>
  <si>
    <t>X:\17. Website cong ty\Thong tin T27\Hinh anh chuyen gia\Phan Hong Nhat.jpg</t>
  </si>
  <si>
    <t>Nguyễn Thị Hồng Hằng</t>
  </si>
  <si>
    <t>Phó phòng khảo sát</t>
  </si>
  <si>
    <t>Chứng chỉ khảo sát địa chất hạng 1</t>
  </si>
  <si>
    <t>Kinh nghiệm 13 năm trong lĩnh khảo sát địa chất</t>
  </si>
  <si>
    <t>khảo sát địa chất</t>
  </si>
  <si>
    <t>X:\17. Website cong ty\Thong tin T27\Hinh anh chuyen gia\Nguyen Thi Hong Hang.jpg</t>
  </si>
  <si>
    <t>Phan Huỳnh Túy Sơn</t>
  </si>
  <si>
    <t>Chứng chỉ khảo sát địa hình hạng 1</t>
  </si>
  <si>
    <t>Kinh nghiệm 8 năm trong lĩnh khảo sát địa hình</t>
  </si>
  <si>
    <t>khảo sát địa hình</t>
  </si>
  <si>
    <t>Autocad, Office, Civil 3D, Agisoft Metashape, Global Mapper</t>
  </si>
  <si>
    <t>"X:\17. Website cong ty\Thong tin T27\Hinh anh chuyen gia\Huynh Phan Tuy Son.jpg"</t>
  </si>
  <si>
    <t>Thân Thị Thu Hà</t>
  </si>
  <si>
    <t>Kinh nghiệm 44 năm trong lĩnh khảo sát địa chất</t>
  </si>
  <si>
    <t>X:\17. Website cong ty\Thong tin T27\Hinh anh chuyen gia\Than Thi Thu Ha.jpg</t>
  </si>
  <si>
    <t>Nguyễn Hoàng Phi Điệp</t>
  </si>
  <si>
    <t>Chứng chỉ khảo sát địa chất hạng 2</t>
  </si>
  <si>
    <t>Kinh nghiệm 7 năm trong lĩnh khảo sát địa chất</t>
  </si>
  <si>
    <t>X:\17. Website cong ty\Thong tin T27\Hinh anh chuyen gia\Nguyen Hoang Phi Diep.jpg</t>
  </si>
  <si>
    <t>Võ Lê Nhã Quyên</t>
  </si>
  <si>
    <t>Chứng chỉ định giá hạng 3</t>
  </si>
  <si>
    <t>6 năm trong lĩnh vực lập dự toán</t>
  </si>
  <si>
    <t>Lập dự toán công trình</t>
  </si>
  <si>
    <t>- Cao tốc Khánh Hòa - Buôn ma thuột
- Đường giao thông ngoài cảng Vân Phong - giai đoạn 2</t>
  </si>
  <si>
    <t>Lê Trọng Nhân</t>
  </si>
  <si>
    <t>Chứng chỉ thiết kế công trình đê điều, thủy lợi hạng III</t>
  </si>
  <si>
    <t>6 năm trong lĩnh vực thiết kế</t>
  </si>
  <si>
    <t>Tính toán và xử lý địa kỹ thuật, kết cấu các công trình giao thông và thủy lợi</t>
  </si>
  <si>
    <t>Ansys, Plaxis 2D và 3D, Midas,Geoslope,Geo5,Civil 3D</t>
  </si>
  <si>
    <t xml:space="preserve"> Cao tốc Khánh Hòa - Buôn Ma Thuột và dự án QL26B, Đường hầm thủy điện Nậm Pàn 5 và Đường hầm Thủy điện tích năng Bác Ái</t>
  </si>
  <si>
    <t>"X:\17. Website cong ty\Thong tin T27\Hinh anh chuyen gia\LE TRONG NHAN P9.jpg"</t>
  </si>
  <si>
    <t>Nguyễn Thị Phúc</t>
  </si>
  <si>
    <t>Trưởng phòng KD&amp;QLTN</t>
  </si>
  <si>
    <t>Chứng chỉ thiết kế hạng 1; Chứng chỉ định giá hạng 1</t>
  </si>
  <si>
    <t>19 năm trong lĩnh vực lập dự toán</t>
  </si>
  <si>
    <t>- Cao tốc Khánh Hòa - Buôn Ma Thuột
- Khu neo đậu tránh trú bão Hòn Rớ
- Nút giao Ngọc Hội 
- Cao tốc Quy Nhơn - Pleiku
- Tuyến đường Ven Biển</t>
  </si>
  <si>
    <t>X:\17. Website cong ty\Thong tin T27\Hinh anh chuyen gia/Nguyen Thi Phuc</t>
  </si>
  <si>
    <t>Hồ Chí Cường</t>
  </si>
  <si>
    <t>Chứng chỉ thiết kế công trình đường bộ hạng 3
Chứng chỉ thiết kế công trình cầu hạng 3</t>
  </si>
  <si>
    <t>5 năm trong lĩnh vực thiết kế</t>
  </si>
  <si>
    <t>Thiết kế công trình cầu, kè, cảng, bến thủy nội địa,...</t>
  </si>
  <si>
    <t>- Cao tốc Khánh Hòa - Buôn Ma Thuột
- Khu neo đậu tránh trú bão Hòn Rớ
- Cây xanh đường Võ Nguyên Giáp</t>
  </si>
  <si>
    <t>Trần Duy Tài</t>
  </si>
  <si>
    <t>2 năm trong lĩnh vực thiết kế</t>
  </si>
  <si>
    <t>Thiết kế các công trình cầu, đường bộ.
Mô hình 3D các công trình.</t>
  </si>
  <si>
    <t>Autocad, Revit, Civil 3D, Navisworks, Infrawork, Twin</t>
  </si>
  <si>
    <t>- 3 cầu TL8B
- Nâng cấp mở rộng QL26B
- Cao tốc Quy Nhơn - Pleiku</t>
  </si>
  <si>
    <t>X:\17. Website cong ty\Thong tin T27\Hinh anh chuyen gia\Trần Duy Tài.jpg</t>
  </si>
  <si>
    <t>Phạm Khắc Hoài Tân</t>
  </si>
  <si>
    <t>Thiết kế an toàn giao thông và giải phóngmặt bằng</t>
  </si>
  <si>
    <t>ATGT Cao tốc Hoài Nhơn - Quy Nhơn
ATGT Cao tốc Khánh Hòa - Buôn Ma Thuộc
GPMB tuyến đường ven biển, Liên vùng Diên Khánh.</t>
  </si>
  <si>
    <t>Mai Thanh Đạt</t>
  </si>
  <si>
    <t>Thiết kế các công trình cầu, bến thủy nội địa</t>
  </si>
  <si>
    <t>Autocad, Revit, Navisworks</t>
  </si>
  <si>
    <t>- Cao tốc Khánh Hòa - Buôn Ma Thuột.
- Dự án QL26B
- Khu neo đậu tránh trú bão Hòn Rớ
- Cao tốc Quy Nhơn - Pleiku</t>
  </si>
  <si>
    <t>X:\17. Website cong ty\Thong tin T27\Hinh anh chuyen gia\Mai Thanh Đạt.jpg</t>
  </si>
  <si>
    <t>Lê Thiên Vinh</t>
  </si>
  <si>
    <t>Chứng chỉ thiết kế giao thông hạng II</t>
  </si>
  <si>
    <t>24 năm khảo sát, thiết kế, giám sát công trình giao thông</t>
  </si>
  <si>
    <t>Khảo sát, thiết kế, giám sát công trình giao thông đường bộ</t>
  </si>
  <si>
    <t>Autocad, Civil 3D, Anddesgin, Canva, ...</t>
  </si>
  <si>
    <t>Đường Võ Nguyên Giáp, Vành Đai 2, cầu Sơn Bình, Đường D6, cầu Sông Trang, Nguyễn Trọng Kỹ, QL26B, ...</t>
  </si>
  <si>
    <t>Nguyễn Tấn Tiến</t>
  </si>
  <si>
    <t xml:space="preserve">Chứng chỉ thiết kế giao thông hạng III </t>
  </si>
  <si>
    <t>3 năm trong lĩnh vực thiết kế</t>
  </si>
  <si>
    <t>Thiết kế công trình giao thông</t>
  </si>
  <si>
    <t>Autocad, Civil 3D, Anddesgin</t>
  </si>
  <si>
    <t>Cao tốc Khánh Hòa - Buôn Ma Thuột
Nâng cấp mở rộng QL26b
Ven biển</t>
  </si>
  <si>
    <t>"X:\17. Website cong ty\Thong tin T27\Hinh anh chuyen gia\NguyenTanTien.jpg"</t>
  </si>
  <si>
    <t>Huỳnh Tấn Chánh</t>
  </si>
  <si>
    <t>15 năm trong lĩnh vực lập dự toán</t>
  </si>
  <si>
    <t>Tô Minh Hoàng</t>
  </si>
  <si>
    <t>Thiết kế công trình giao thông và hạ tầng kỹ thuật</t>
  </si>
  <si>
    <t>Autocad, Civil 3D, Revit, Tekla</t>
  </si>
  <si>
    <t>Cao tốc Hoài Nhơn - Quy Nhơn
Cao tốc Khánh Hòa - Buôn Ma Thuột
Nâng cấp mở rộng QL26b
Ven biển</t>
  </si>
  <si>
    <t xml:space="preserve"> </t>
  </si>
  <si>
    <t>"X:\17. Website cong ty\Thong tin T27\Hinh anh chuyen gia\TO MINH HOANG.jpg"</t>
  </si>
  <si>
    <t>Nguyễn Thị Hảo</t>
  </si>
  <si>
    <t>Plaixs, Midas,Geoslope,Geo5,autocad, dranet</t>
  </si>
  <si>
    <t>Phạm Minh Tuấn</t>
  </si>
  <si>
    <t xml:space="preserve">Chứng chỉ thiết kế cầu, đường bộ hạng III </t>
  </si>
  <si>
    <t>Tính toán, xử lý kết cấu các công trình giao thông, cầu, cảng .</t>
  </si>
  <si>
    <t>Autocad, ANDDesign, Revit, Midas Civl, RM Bridge.</t>
  </si>
  <si>
    <t xml:space="preserve"> - Cao tốc Quy Nhơn - Pleiku
 - Cao tốc Khánh Hòa - Buôn Ma Thuột
 - Nâng cấp mở rộng QL26B
 - Đường Vành Đai 2
 - Khu neo đậu tránh trú bão Hòn Rớ</t>
  </si>
  <si>
    <t>"X:\17. Website cong ty\Thong tin T27\Hinh anh chuyen gia\PHAM MINH TUAN.jpg"</t>
  </si>
  <si>
    <t>Huỳnh Ngọc Nam</t>
  </si>
  <si>
    <t>Autocad, Civil 3D</t>
  </si>
  <si>
    <t>- Dự án QL26B
- Đường Nguyễn Tất Thành
- Khu TĐC Phú Thọ 2</t>
  </si>
  <si>
    <t>"X:\17. Website cong ty\Thong tin T27\Hinh anh chuyen gia\HuynhNgocNam.jpg"</t>
  </si>
  <si>
    <t>Chuyên gia BIM &amp; Công nghệ số</t>
  </si>
  <si>
    <t>Chứng nhận đào tạo, bồi dưỡng áp dụng mô hình thông tin công trình (BIM)</t>
  </si>
  <si>
    <t>6 năm trong lĩnh vực ứng dụng mô hình thông tin công trình (BIM)</t>
  </si>
  <si>
    <t>Xây dựng model phần giao cầu</t>
  </si>
  <si>
    <t>4 năm trong lĩnh vực ứng dụng mô hình thông tin công trình (BIM)</t>
  </si>
  <si>
    <t>Điều phối viên BIM (BIM Coordinator)</t>
  </si>
  <si>
    <t>Navisworks, Civil 3D, Revit, Infraworks, Tekla, ACC, Trimble Connect</t>
  </si>
  <si>
    <t>Mở rộng, cải tạo nút giao Đống Đa-Hoa Lư
Trụ sở chung
Nâng cấp, mở rộng QL26b
Trung tâm hành chính</t>
  </si>
  <si>
    <t xml:space="preserve"> Giải đồng Vinh danh tập thể có Nghiên cứu ứng dụng AI và BIM trong công việc thiết kế</t>
  </si>
  <si>
    <t>16 năm trong lĩnh vực ứng dụng mô hình thông tin công trình (BIM)</t>
  </si>
  <si>
    <t>Xây dựng model phần giao thông</t>
  </si>
  <si>
    <t>Mở rộng, cải tạo nút giao Đống Đa-Hoa Lư
Nâng cấp, mở rộng QL26b</t>
  </si>
  <si>
    <t>3 năm trong lĩnh vực ứng dụng mô hình thông tin công trình (BIM)</t>
  </si>
  <si>
    <t>Dựng hình BIM ( BIM Moderler)</t>
  </si>
  <si>
    <t>Revit</t>
  </si>
  <si>
    <t xml:space="preserve"> - Nâng cấp, mở rộng QL26B
 - Cao tốc Quy Nhơn - Pleiku</t>
  </si>
  <si>
    <t>Phó phòng</t>
  </si>
  <si>
    <t>1 năm trong lĩnh vực ứng dụng mô hình thông tin công trình (BIM)</t>
  </si>
  <si>
    <t>Revit, Navisworks, Infrawork</t>
  </si>
  <si>
    <t>Revit, Navisworks</t>
  </si>
  <si>
    <t>Trần Nguyên Gia Lâm</t>
  </si>
  <si>
    <t>Chuyên gia Tư vấn Giám sát</t>
  </si>
  <si>
    <t>Chứng chỉ thiết kế, giám sát công tác xây dựng công trình giao thông, dân dụng - công nghiệp và Hạ tầng kỹ thuật - Hạng III</t>
  </si>
  <si>
    <t>5 năm trong lĩnh vực</t>
  </si>
  <si>
    <t>Thiết kế giám sát các công trình giao thông và hạ tầng kỹ thuật</t>
  </si>
  <si>
    <t>Dự án KN Paradise, Thoát nước mưa Võ Tánh, đường Nguyễn Tất Thành, Hương lộ 62, Cao tốc Hoài Nhơn - Quy Nhơn, Đường Tỉnh lộ 3, Đường Tỉnh lộ 2</t>
  </si>
  <si>
    <t>Lê Trương Kinh Thy</t>
  </si>
  <si>
    <t>Giám sát công trình giao thông hạng I</t>
  </si>
  <si>
    <t>12 năm trong lỉnh vực thi công và giám sát công trình giao thông</t>
  </si>
  <si>
    <t>giám sát và thi công cầu - đường</t>
  </si>
  <si>
    <t>Cao tốc Trung Lương - Mỹ Thuận và cao tốc Hoài Nhơn-Quy Nhơn, cầu Cao Lãnh</t>
  </si>
  <si>
    <t>Nguyễn Hồ Kim Vinh</t>
  </si>
  <si>
    <t>- Giám sát xây dựng công trình dân dụng  - công nghiệp và hạ tầng kỹ thuật hạng II
- Giám sát xây dựng công trình giao thông hạng II</t>
  </si>
  <si>
    <t>12 năm trong lĩnh vưc thi công và giám sát công trình giao thông</t>
  </si>
  <si>
    <t>giám sát công trình giao thông, hạ tầng kỹ thuật</t>
  </si>
  <si>
    <t>Đường Nguyễn Tất Thành đoạn từ sân bay Cam Ranh đến Cầu Long Hồ</t>
  </si>
  <si>
    <t>Nguyễn Thái Châu</t>
  </si>
  <si>
    <t>17 năm trong lĩnh vực  giám sát</t>
  </si>
  <si>
    <t>giám sát các công trình cầu ,đường bộ</t>
  </si>
  <si>
    <t>Cao tốc  Hoài Nhơn-Quy Nhơn và cao tốc Khánh Hòa - Buôn Mê Thuột</t>
  </si>
  <si>
    <t>Lê Quốc Tĩnh</t>
  </si>
  <si>
    <t>- Thiết kế Cơ - Điện công trình - Hệ thống điện - Hạng II
- Giám sát lắp đặt thiết bị - Hạng II
- Định giá xây dựng - Hạng II</t>
  </si>
  <si>
    <t>- 7 năm tham gia hoạt động xây dựng</t>
  </si>
  <si>
    <t xml:space="preserve">- Giám sát công tác xây dựng </t>
  </si>
  <si>
    <t>- Cao tốc Hoài Nhơn-Quy Nhơn</t>
  </si>
  <si>
    <t>Huỳnh Duy Hùng</t>
  </si>
  <si>
    <t>- Giám sát công tác xây dựng công trình dân dụng  - công nghiệp và hạ tầng kỹ thuật hạng II;
- Giám sát công tác xây dựng công trình giao thông hạng II.</t>
  </si>
  <si>
    <t>25 năm trong lĩnh vưc thi công và giám sát công trình giao thông, cầu, đường, hầm và hạ tầng kỹ thuật.</t>
  </si>
  <si>
    <t>Giám sát, thi công các công trình giao thông, cầu, đường, hầm và công trình hạ tầng kỹ thuật.</t>
  </si>
  <si>
    <t>Dự án CCSEP</t>
  </si>
  <si>
    <t>Nguyễn Văn Son</t>
  </si>
  <si>
    <t>15 năm trong lĩnh vực thi công và giám sát công trình giao thông</t>
  </si>
  <si>
    <t>giám sát và thi công cầu đường</t>
  </si>
  <si>
    <t>- Cao tốc Cam Lâm - Vĩnh Hảo;
- Cao tốc Hoài Nhơn-Quy Nhơn</t>
  </si>
  <si>
    <t>Võ Văn Phát</t>
  </si>
  <si>
    <t>13 năm trong lĩnh vực thi công và giám sát công trình giao thông</t>
  </si>
  <si>
    <t>Giám sát vật liệu</t>
  </si>
  <si>
    <t>Phan Bá Nguyên</t>
  </si>
  <si>
    <t>Giám sát công trình giao thông hạng I
- Giám sát công tác xây dựng công trình dân dụng  - công nghiệp và hạ tầng kỹ thuật hạng II
- Thiết kế công trình giao thông hạng III
- Giám sát công trình nông nghiệp và nông thôn hạng II</t>
  </si>
  <si>
    <t>14 năm trong lĩnh vực thi công và giám sát công trình giao thông</t>
  </si>
  <si>
    <t>Giám sát công trình giao thông, hạ tầng kỹ thuật</t>
  </si>
  <si>
    <t>- Đường TL3
- Cao tốc KH-BMT</t>
  </si>
  <si>
    <t>Trần Văn Cương</t>
  </si>
  <si>
    <t xml:space="preserve"> - Giám sát công trình nông nghiệp và nông thôn hạng II
 - Thiết kế công trình nông nghiệp và nông thôn hạng III
 - Giám sát công trình giao thông hạng II
 - Giám sát công trình dân dụng - CN và HTKT hạng II</t>
  </si>
  <si>
    <t>32 năm trong lĩnh vực thi công và giám sát công trình NN và nông thôn</t>
  </si>
  <si>
    <t>Giám sát các công trình NN và PTNT</t>
  </si>
  <si>
    <t>Hồ C - Thủy điện Vĩnh Sơn</t>
  </si>
  <si>
    <t>Nguyễn Ngọc Miền</t>
  </si>
  <si>
    <t>Giám sát công tác xây dựng công trình hạng II</t>
  </si>
  <si>
    <t>19  năm trong lĩnh vực thí nghiệm,  giám sát công trình dân dụng &amp; công nghiệp, hạ tầng kỹ thuật,  giao thông</t>
  </si>
  <si>
    <t xml:space="preserve"> Giám sát công trình xây dựng dân dụng và công nghiệp, hạ tầng kỹ thuật, giao thông</t>
  </si>
  <si>
    <t xml:space="preserve">Dự án tái định cư ninh mã, 
Cải tạo vỉa hè đường Trần Quý Cáp - đường 2/4 Nha Trang
Đường Lập Định - Suối Môn...
</t>
  </si>
  <si>
    <t>Lê Võ Quốc Anh</t>
  </si>
  <si>
    <t>Giám sát công tác xây dựng công trình hạng III</t>
  </si>
  <si>
    <t>12 năm trong lĩnh vực trong lĩnh vực thí nghiệm, giám sát công trình dân dụng &amp; công nghiệp, hạ tầng kỹ thuật,  giao thông</t>
  </si>
  <si>
    <t xml:space="preserve"> Giám sát công trình xây dựng dân dụng &amp; công nghiệp, hạ tầng kỹ thuật, giao thông</t>
  </si>
  <si>
    <t>- Dự án KN Paradise
- Đường Lập Định - Suối Môn
- Đường Mỹ Ca - Cam An Nam</t>
  </si>
  <si>
    <t>Nguyễn Văn Ty</t>
  </si>
  <si>
    <t>- Giám sát xây dựng công trình dân dụng  - công nghiệp và hạ tầng kỹ thuật hạng III - chứng nhận huấn luyện ATLĐ - vệ sinh LĐ
- Giám sát xây dựng công trình giao thông hạng III</t>
  </si>
  <si>
    <t>15  năm 5 tháng trong lĩnh vực thí nghiệm,  giám sát công trình dân dụng &amp; công nghiệp, hạ tầng kỹ thuật,  giao thông</t>
  </si>
  <si>
    <t xml:space="preserve"> Giám sát công trình xây dựng dân dụng và công nghiệp, hạ tầng kỹ thuật, giao thông, ATLĐ</t>
  </si>
  <si>
    <t>Nguyễn  Ngọc Linh</t>
  </si>
  <si>
    <t>Thiết kế đường hạng II; Giám sát công tác xây dựng công trình đường bộ hạng II</t>
  </si>
  <si>
    <t>20 năm trong lĩnh vực  giám sát</t>
  </si>
  <si>
    <t>Trần Anh Khoa</t>
  </si>
  <si>
    <t xml:space="preserve"> - Giám sát công tác xây dựng công trình hạng II
- Giám sát công trình NN và NT hạng II
 - Giám sát công trình giao thông hạng II</t>
  </si>
  <si>
    <t>Giám sát và thi công các công trình giao thông cầu đường bộ</t>
  </si>
  <si>
    <t>Cầu Huyện 2, Tỉnh lộ 2</t>
  </si>
  <si>
    <t>Nguyễn Thanh</t>
  </si>
  <si>
    <t>- Giám sát xây dựng công trình dân dụng  - công nghiệp và hạ tầng kỹ thuật hạng III 
- Giám sát xây dựng công trình giao thông hạng III</t>
  </si>
  <si>
    <t>17 năm trong lĩnh vực thi công và giám sát công trình giao thông</t>
  </si>
  <si>
    <t>Đường TL2, Đường Trung chuyển Quốc Tế Vân Phong, DT651, DT657K</t>
  </si>
  <si>
    <t>Nguyễn Ngọc Kiên</t>
  </si>
  <si>
    <t>- Giám sát xây dựng công trình giao thông hạng II 
- Quản lý phòng thí nghiệm</t>
  </si>
  <si>
    <t>26 năm trong lĩnh vực thi công, thí nghiệm kiểm định  và giám sát công trình giao thông</t>
  </si>
  <si>
    <t>Giám sát công trình giao thông, giám sát vật liệu và chất lượng công trình</t>
  </si>
  <si>
    <t>- Thi công cầu Lạc Quần, Nam Định và cầu Trần phú, Nha Trang
 - Giám sát Cao tốc Nha Trang - Cam Lâm và Cao tốc Khánh Hòa - Buôn Mê Thuột
 - Thí nghiệm Ql1 Khánh Hòa, Ql28 Bình Thuận, QL26 ĐăkLăk, QL27B Ninh Thuận, Thủy điện Serepok 3 và các công trình NN&amp;PTNT khu vực Nam Trung Bộ-Tây Nguyên</t>
  </si>
  <si>
    <t>Trần Thái Hà</t>
  </si>
  <si>
    <t>Giám đốc Trung tâm
TVGS và KĐCLCT</t>
  </si>
  <si>
    <t xml:space="preserve">- Giám sát xây dựng công trình giao thông hạng I                                              - Giám sát công trình dân dụng - CN và HTKT hạng II    </t>
  </si>
  <si>
    <t xml:space="preserve">20 năm  </t>
  </si>
  <si>
    <t>Nguyễn Chiến Thắng</t>
  </si>
  <si>
    <t>Chuyên gia Kiểm định</t>
  </si>
  <si>
    <t>Chứng chỉ thí nghiệm viên</t>
  </si>
  <si>
    <t>10 năm trong lĩnh vực thí nghiệm</t>
  </si>
  <si>
    <t>Thí nghiệm vật liệu cầu đường, dân dụng</t>
  </si>
  <si>
    <t>- Xây dựng trụ sở làm việc Tỉnh Ủy
- Cao tốc Khánh Hòa - Buôn Ma Thuột.</t>
  </si>
  <si>
    <t>X:\17. Website cong ty\Thong tin T27\Hinh anh chuyen gia\Nguyen Chien Thang.jpg</t>
  </si>
  <si>
    <t>Cái Thế Lân</t>
  </si>
  <si>
    <t>11 năm trong lĩnh vực thí nghiệm</t>
  </si>
  <si>
    <t>Thí nghiệm vật liệu xây dựng</t>
  </si>
  <si>
    <t>- Xây dựng trụ sở làm việc Tỉnh Ủy
- Cung thiếu nhi tỉnh Khánh Hòa
- Đường D30
- Cao tốc Khánh Hòa - Buôn Ma Thuột.</t>
  </si>
  <si>
    <t>Chứng chỉ Thí nghiệm viên, chứng chỉ quản lý phòng thí nghiệm</t>
  </si>
  <si>
    <t>3 năm trong lĩnh vực thí nghiệm</t>
  </si>
  <si>
    <t>Trần Thị Trà Giang</t>
  </si>
  <si>
    <t>Chuyên gia Lựa chọn Nhà thầu</t>
  </si>
  <si>
    <t>Phó phòng KD&amp;QLTN</t>
  </si>
  <si>
    <t xml:space="preserve">Chứng chỉ nghiệp vụ chuyên môn về đấu thầu lựa chọn nhà thầu </t>
  </si>
  <si>
    <t>10 năm trong lĩnh vực đấu thầu</t>
  </si>
  <si>
    <t>tư vấn lựa chọn nhà thầu tư vấn, thi công</t>
  </si>
  <si>
    <t>Office</t>
  </si>
  <si>
    <t>- Xây dựng Cung văn hóa thiếu nhi tỉnh Khánh Hòa
- Đồ án Quy hoạch chi tiết (tỷ lệ 1/500) Khu Trung tâm hành chính tỉnh tại Xã Vĩnh Thái, Thành Phố Nha Trang</t>
  </si>
  <si>
    <t>Hồ Thị Bích Thảo</t>
  </si>
  <si>
    <t>Sứ mệnh</t>
  </si>
  <si>
    <t>Tầm nhìn</t>
  </si>
  <si>
    <t>Khóa thảo luận 1</t>
  </si>
  <si>
    <t>Nội Dung Chính</t>
  </si>
  <si>
    <t>Ứng dụng BIM – Nâng tầm chất lượng công trình</t>
  </si>
  <si>
    <t>Báo cáo Kết quả Triển khai BIM</t>
  </si>
  <si>
    <t>Tổng kết và chia sẻ kết quả áp dụng công nghệ BIM trong các dự án tư vấn thiết kế, giám sát và quản lý dự án.</t>
  </si>
  <si>
    <t>Trao tặng "Sổ tay Áp dụng BIM 2025"</t>
  </si>
  <si>
    <t>Ban tổ chức đã trao tặng cuốn "Sổ tay Áp dụng BIM 2025" (do Tạp chí Xây dựng biên soạn) - một tài liệu hữu ích, góp phần thúc đẩy việc ứng dụng công nghệ BIM.</t>
  </si>
  <si>
    <t>Chia sẻ Kinh nghiệm Thực tiễn</t>
  </si>
  <si>
    <t>Trao đổi kinh nghiệm, cập nhật tri thức mới về BIM trong hoạt động thiết kế, giám sát và quản lý dự án.</t>
  </si>
  <si>
    <t>Ý Nghĩa Sự Kiện</t>
  </si>
  <si>
    <t>Đây không chỉ là dịp tổng kết, chia sẻ kinh nghiệm mà còn là cơ hội để đội ngũ T27 tiếp tục cập, nhật tri thức mới, khẳng định cam kết mang đến giải pháp tư vấn kỹ thuật tiên tiến - bền vững - hiệu quả.</t>
  </si>
  <si>
    <t>Khóa thảo luận 2</t>
  </si>
  <si>
    <t xml:space="preserve">Báo cáo Kết quả </t>
  </si>
  <si>
    <t>Hoạt Động Chính</t>
  </si>
  <si>
    <t>🏢</t>
  </si>
  <si>
    <r>
      <t>Địa Điểm Tổ Chức</t>
    </r>
    <r>
      <rPr>
        <sz val="13.5"/>
        <color rgb="FF1A1A1A"/>
        <rFont val="Segoe UI"/>
        <charset val="1"/>
      </rPr>
      <t>Văn phòng Khảo sát Thí nghiệm – Khu đô thị Mỹ Gia, nơi diễn ra chương trình với không gian ấm cúng và tràn đầy niềm vui.</t>
    </r>
  </si>
  <si>
    <t>🎪</t>
  </si>
  <si>
    <r>
      <t>Tiệc Trung Thu Truyền Thống</t>
    </r>
    <r>
      <rPr>
        <sz val="13.5"/>
        <color rgb="FF1A1A1A"/>
        <rFont val="Segoe UI"/>
        <charset val="1"/>
      </rPr>
      <t>Tổ chức bữa tiệc ấm cúng với bánh trung thu, trái cây và các món ăn truyền thống, tạo không gian sum họp cho các em nhỏ và gia đình CBNV.</t>
    </r>
  </si>
  <si>
    <t>🎮</t>
  </si>
  <si>
    <r>
      <t>Trò Chơi Dân Gian</t>
    </r>
    <r>
      <rPr>
        <sz val="13.5"/>
        <color rgb="FF1A1A1A"/>
        <rFont val="Segoe UI"/>
        <charset val="1"/>
      </rPr>
      <t>Phá cỗ, rước đèn, múa lân và các trò chơi dân gian hấp dẫn như đập niêu, bịt mắt bắt dê, tạo không khí vui tươi sôi động.</t>
    </r>
  </si>
  <si>
    <t>🎁</t>
  </si>
  <si>
    <r>
      <t>Tặng Quà và Lồng Đèn</t>
    </r>
    <r>
      <rPr>
        <sz val="13.5"/>
        <color rgb="FF1A1A1A"/>
        <rFont val="Segoe UI"/>
        <charset val="1"/>
      </rPr>
      <t>Mỗi em nhỏ đều nhận được lồng đèn lung linh và phần quà ý nghĩa, gửi gắm tình cảm yêu thương từ gia đình T27.</t>
    </r>
  </si>
  <si>
    <t>🤝</t>
  </si>
  <si>
    <r>
      <t>Gắn Kết Nội Bộ</t>
    </r>
    <r>
      <rPr>
        <sz val="13.5"/>
        <color rgb="FF1A1A1A"/>
        <rFont val="Segoe UI"/>
        <charset val="1"/>
      </rPr>
      <t>Chương trình là cơ hội để các gia đình CBNV gặp gỡ, giao lưu, tăng cường tinh thần đoàn kết và gắn bó trong công 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</si>
</sst>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b/>
      <sz val="11"/>
      <color theme="1"/>
      <name val="Aptos Narrow"/>
      <family val="2"/>
      <scheme val="minor"/>
    </font>
    <font>
      <b/>
      <sz val="14"/>
      <color rgb="FF365F91"/>
      <name val="Calibri"/>
      <family val="2"/>
    </font>
    <font>
      <sz val="11"/>
      <color theme="1"/>
      <name val="Cambria"/>
      <family val="1"/>
    </font>
    <font>
      <b/>
      <sz val="11"/>
      <color theme="1"/>
      <name val="Cambria"/>
      <family val="1"/>
    </font>
    <font>
      <sz val="11"/>
      <color rgb="FF000000"/>
      <name val="Aptos Narrow"/>
      <family val="2"/>
      <scheme val="minor"/>
    </font>
    <font>
      <sz val="11"/>
      <color rgb="FF081B3A"/>
      <name val="SegoeuiPc"/>
      <charset val="1"/>
    </font>
    <font>
      <sz val="11"/>
      <color rgb="FF000000"/>
      <name val="Aptos Narrow"/>
      <charset val="1"/>
    </font>
    <font>
      <sz val="11"/>
      <color rgb="FF000000"/>
      <name val="Times New Roman"/>
      <family val="1"/>
      <charset val="1"/>
    </font>
    <font>
      <b/>
      <sz val="11"/>
      <color theme="5" tint="-0.249977111117893"/>
      <name val="Aptos Narrow"/>
      <family val="2"/>
      <scheme val="minor"/>
    </font>
    <font>
      <b/>
      <sz val="14"/>
      <color theme="6" tint="0.39997558519241921"/>
      <name val="Calibri"/>
      <family val="2"/>
    </font>
    <font>
      <b/>
      <sz val="11"/>
      <color theme="6" tint="0.39997558519241921"/>
      <name val="Cambria"/>
      <family val="1"/>
    </font>
    <font>
      <b/>
      <sz val="11"/>
      <color theme="6" tint="0.39997558519241921"/>
      <name val="Aptos Narrow"/>
      <family val="2"/>
      <scheme val="minor"/>
    </font>
    <font>
      <b/>
      <sz val="14"/>
      <color rgb="FFFF0000"/>
      <name val="Aptos Narrow"/>
      <family val="2"/>
      <scheme val="minor"/>
    </font>
    <font>
      <b/>
      <sz val="11"/>
      <color rgb="FFFF0000"/>
      <name val="Aptos Narrow"/>
      <family val="2"/>
      <scheme val="minor"/>
    </font>
    <font>
      <b/>
      <sz val="11"/>
      <color theme="8"/>
      <name val="Aptos Narrow"/>
      <family val="2"/>
      <scheme val="minor"/>
    </font>
    <font>
      <sz val="11"/>
      <color rgb="FF242424"/>
      <name val="Aptos Narrow"/>
      <charset val="1"/>
    </font>
    <font>
      <sz val="23"/>
      <color rgb="FF0077B6"/>
      <name val="Arial"/>
      <charset val="1"/>
    </font>
    <font>
      <b/>
      <sz val="11"/>
      <color rgb="FF47D359"/>
      <name val="Cambria"/>
    </font>
    <font>
      <b/>
      <sz val="11"/>
      <color rgb="FFFF0000"/>
      <name val="Cambria"/>
    </font>
    <font>
      <sz val="11"/>
      <color theme="1"/>
      <name val="Times New Roman"/>
    </font>
    <font>
      <sz val="11"/>
      <color rgb="FF000000"/>
      <name val="Aptos Narrow"/>
      <scheme val="minor"/>
    </font>
    <font>
      <b/>
      <sz val="11"/>
      <color rgb="FF000000"/>
      <name val="Aptos Narrow"/>
      <scheme val="minor"/>
    </font>
    <font>
      <sz val="11"/>
      <color rgb="FF000000"/>
      <name val="Aptos Narrow"/>
    </font>
    <font>
      <b/>
      <sz val="14"/>
      <color rgb="FFFF0000"/>
      <name val="Aptos Narrow"/>
      <scheme val="minor"/>
    </font>
    <font>
      <b/>
      <sz val="14"/>
      <color rgb="FFD86DCD"/>
      <name val="Aptos Narrow"/>
      <scheme val="minor"/>
    </font>
    <font>
      <b/>
      <sz val="13.5"/>
      <color rgb="FFFF0000"/>
      <name val="Segoe UI"/>
      <charset val="1"/>
    </font>
    <font>
      <sz val="11"/>
      <color rgb="FFFF0000"/>
      <name val="Aptos Narrow"/>
      <family val="2"/>
      <scheme val="minor"/>
    </font>
    <font>
      <b/>
      <sz val="11"/>
      <color rgb="FF000000"/>
      <name val="Aptos Narrow"/>
      <family val="2"/>
      <scheme val="minor"/>
    </font>
    <font>
      <b/>
      <sz val="22"/>
      <color rgb="FF004E89"/>
      <name val="Segoe UI"/>
      <charset val="1"/>
    </font>
    <font>
      <sz val="20.25"/>
      <color rgb="FFFF6B35"/>
      <name val="Segoe UI"/>
      <charset val="1"/>
    </font>
    <font>
      <sz val="13.5"/>
      <color rgb="FF1A1A1A"/>
      <name val="Segoe UI"/>
      <charset val="1"/>
    </font>
    <font>
      <b/>
      <sz val="16.2"/>
      <color rgb="FF004E89"/>
      <name val="Segoe UI"/>
      <charset val="1"/>
    </font>
    <font>
      <b/>
      <sz val="14"/>
      <color theme="1"/>
      <name val="Aptos Narrow"/>
      <scheme val="minor"/>
    </font>
    <font>
      <sz val="11"/>
      <color rgb="FF000000"/>
      <name val="Arial"/>
      <charset val="1"/>
    </font>
  </fonts>
  <fills count="6">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DDDDDD"/>
      </bottom>
      <diagonal/>
    </border>
  </borders>
  <cellStyleXfs count="1">
    <xf numFmtId="0" fontId="0" fillId="0" borderId="0"/>
  </cellStyleXfs>
  <cellXfs count="7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quotePrefix="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1" fillId="0" borderId="0" xfId="0" applyFont="1"/>
    <xf numFmtId="0" fontId="2"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14" fontId="0" fillId="0" borderId="0" xfId="0" quotePrefix="1" applyNumberFormat="1"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5" fillId="0" borderId="0" xfId="0" applyFont="1"/>
    <xf numFmtId="0" fontId="6" fillId="0" borderId="0" xfId="0" applyFont="1"/>
    <xf numFmtId="0" fontId="7" fillId="0" borderId="0" xfId="0" applyFont="1"/>
    <xf numFmtId="0" fontId="9" fillId="0" borderId="0" xfId="0" applyFont="1" applyAlignment="1">
      <alignment vertical="center" wrapText="1"/>
    </xf>
    <xf numFmtId="0" fontId="9" fillId="0" borderId="0" xfId="0" applyFont="1" applyAlignment="1">
      <alignment wrapText="1"/>
    </xf>
    <xf numFmtId="0" fontId="9" fillId="0" borderId="0" xfId="0" applyFont="1"/>
    <xf numFmtId="0" fontId="11" fillId="0" borderId="0" xfId="0" applyFont="1" applyAlignment="1">
      <alignment vertical="center" wrapText="1"/>
    </xf>
    <xf numFmtId="0" fontId="12" fillId="0" borderId="0" xfId="0" applyFont="1" applyAlignment="1">
      <alignment wrapText="1"/>
    </xf>
    <xf numFmtId="0" fontId="14" fillId="0" borderId="0" xfId="0" applyFont="1" applyAlignment="1">
      <alignment wrapText="1"/>
    </xf>
    <xf numFmtId="0" fontId="0" fillId="0" borderId="0" xfId="0" quotePrefix="1" applyAlignment="1">
      <alignment wrapText="1"/>
    </xf>
    <xf numFmtId="0" fontId="15" fillId="0" borderId="0" xfId="0" applyFont="1" applyAlignment="1">
      <alignment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applyAlignment="1">
      <alignment horizontal="left" vertical="center"/>
    </xf>
    <xf numFmtId="0" fontId="17" fillId="2" borderId="1" xfId="0" applyFont="1" applyFill="1" applyBorder="1"/>
    <xf numFmtId="0" fontId="0" fillId="0" borderId="1" xfId="0" applyBorder="1"/>
    <xf numFmtId="0" fontId="0" fillId="0" borderId="2" xfId="0" applyBorder="1"/>
    <xf numFmtId="0" fontId="0" fillId="0" borderId="0" xfId="0" applyAlignment="1">
      <alignment vertical="center"/>
    </xf>
    <xf numFmtId="0" fontId="0" fillId="0" borderId="0" xfId="0" applyAlignment="1">
      <alignment horizontal="center" vertical="center"/>
    </xf>
    <xf numFmtId="0" fontId="20" fillId="0" borderId="0" xfId="0" applyFont="1" applyAlignment="1">
      <alignment horizontal="left" vertical="center"/>
    </xf>
    <xf numFmtId="0" fontId="0" fillId="0" borderId="0" xfId="0" quotePrefix="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center" vertical="center" wrapText="1"/>
    </xf>
    <xf numFmtId="0" fontId="9" fillId="3" borderId="0" xfId="0" applyFont="1" applyFill="1" applyAlignment="1">
      <alignment wrapText="1"/>
    </xf>
    <xf numFmtId="0" fontId="16" fillId="0" borderId="0" xfId="0" applyFont="1" applyAlignment="1">
      <alignment vertical="center" wrapText="1"/>
    </xf>
    <xf numFmtId="0" fontId="7"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vertical="top" wrapText="1"/>
    </xf>
    <xf numFmtId="0" fontId="13" fillId="0" borderId="0" xfId="0" applyFont="1" applyAlignment="1">
      <alignment vertical="center" wrapText="1"/>
    </xf>
    <xf numFmtId="0" fontId="0" fillId="0" borderId="0" xfId="0" applyAlignment="1">
      <alignment horizontal="center" vertical="center" wrapText="1"/>
    </xf>
    <xf numFmtId="0" fontId="10" fillId="4" borderId="0" xfId="0" applyFont="1" applyFill="1" applyAlignment="1">
      <alignment vertical="center" wrapText="1"/>
    </xf>
    <xf numFmtId="0" fontId="1" fillId="4" borderId="0" xfId="0" applyFont="1" applyFill="1" applyAlignment="1">
      <alignment horizontal="center" vertical="center" wrapText="1"/>
    </xf>
    <xf numFmtId="0" fontId="1" fillId="4" borderId="0" xfId="0" applyFont="1" applyFill="1" applyAlignment="1">
      <alignment horizontal="center" wrapText="1"/>
    </xf>
    <xf numFmtId="0" fontId="0" fillId="4" borderId="0" xfId="0" applyFill="1" applyAlignment="1">
      <alignment wrapText="1"/>
    </xf>
    <xf numFmtId="0" fontId="0" fillId="4" borderId="0" xfId="0" applyFill="1"/>
    <xf numFmtId="0" fontId="26" fillId="0" borderId="0" xfId="0" applyFont="1" applyAlignment="1">
      <alignment horizontal="center" vertical="center"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2" fillId="0" borderId="3" xfId="0" applyFont="1" applyBorder="1" applyAlignment="1">
      <alignment wrapText="1"/>
    </xf>
    <xf numFmtId="0" fontId="32" fillId="0" borderId="0" xfId="0" applyFont="1" applyAlignment="1">
      <alignment wrapText="1"/>
    </xf>
    <xf numFmtId="0" fontId="33" fillId="0" borderId="0" xfId="0" applyFont="1" applyAlignment="1">
      <alignment wrapText="1"/>
    </xf>
    <xf numFmtId="0" fontId="0" fillId="5" borderId="0" xfId="0" applyFill="1" applyAlignment="1">
      <alignment horizontal="center" vertical="center" wrapText="1"/>
    </xf>
    <xf numFmtId="0" fontId="0" fillId="5" borderId="0" xfId="0" applyFill="1" applyAlignment="1">
      <alignment vertical="center" wrapText="1"/>
    </xf>
    <xf numFmtId="0" fontId="0" fillId="5" borderId="0" xfId="0" applyFill="1" applyAlignment="1">
      <alignment vertical="center"/>
    </xf>
    <xf numFmtId="0" fontId="0" fillId="5" borderId="0" xfId="0" applyFill="1" applyAlignment="1">
      <alignment horizontal="center" vertical="center" wrapText="1" readingOrder="1"/>
    </xf>
    <xf numFmtId="0" fontId="0" fillId="5" borderId="0" xfId="0" applyFill="1" applyAlignment="1">
      <alignment horizontal="center" vertical="center"/>
    </xf>
    <xf numFmtId="0" fontId="9" fillId="0" borderId="0" xfId="0" applyFont="1" applyAlignment="1">
      <alignment horizontal="center" vertical="center" wrapText="1"/>
    </xf>
    <xf numFmtId="0" fontId="13" fillId="0" borderId="0" xfId="0" applyFont="1" applyAlignment="1">
      <alignment horizontal="left" vertical="center" wrapText="1"/>
    </xf>
    <xf numFmtId="0" fontId="0" fillId="5" borderId="0" xfId="0" applyFill="1" applyAlignment="1">
      <alignment horizontal="left" vertical="center" wrapText="1"/>
    </xf>
    <xf numFmtId="0" fontId="34" fillId="2" borderId="0" xfId="0" quotePrefix="1" applyFont="1" applyFill="1" applyAlignment="1">
      <alignment horizontal="left" wrapText="1"/>
    </xf>
    <xf numFmtId="0" fontId="0" fillId="5" borderId="0" xfId="0" quotePrefix="1" applyFill="1" applyAlignment="1">
      <alignment horizontal="left" vertical="center" wrapText="1"/>
    </xf>
  </cellXfs>
  <cellStyles count="1">
    <cellStyle name="Normal" xfId="0" builtinId="0"/>
  </cellStyles>
  <dxfs count="15">
    <dxf>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wrapText="1"/>
    </dxf>
    <dxf>
      <alignment horizontal="center" vertical="bottom" textRotation="0" wrapText="0" indent="0" justifyLastLine="0" shrinkToFit="0" readingOrder="0"/>
    </dxf>
    <dxf>
      <font>
        <b/>
      </font>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1066800</xdr:colOff>
      <xdr:row>7</xdr:row>
      <xdr:rowOff>47625</xdr:rowOff>
    </xdr:from>
    <xdr:to>
      <xdr:col>3</xdr:col>
      <xdr:colOff>1943100</xdr:colOff>
      <xdr:row>35</xdr:row>
      <xdr:rowOff>0</xdr:rowOff>
    </xdr:to>
    <xdr:pic>
      <xdr:nvPicPr>
        <xdr:cNvPr id="3" name="Picture 1">
          <a:extLst>
            <a:ext uri="{FF2B5EF4-FFF2-40B4-BE49-F238E27FC236}">
              <a16:creationId xmlns:a16="http://schemas.microsoft.com/office/drawing/2014/main" id="{813B24A9-4BDE-A1D5-6BE0-3DC946390E01}"/>
            </a:ext>
          </a:extLst>
        </xdr:cNvPr>
        <xdr:cNvPicPr>
          <a:picLocks noChangeAspect="1"/>
        </xdr:cNvPicPr>
      </xdr:nvPicPr>
      <xdr:blipFill>
        <a:blip xmlns:r="http://schemas.openxmlformats.org/officeDocument/2006/relationships" r:embed="rId1"/>
        <a:stretch>
          <a:fillRect/>
        </a:stretch>
      </xdr:blipFill>
      <xdr:spPr>
        <a:xfrm>
          <a:off x="2552700" y="1562100"/>
          <a:ext cx="4095750" cy="5286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76200</xdr:colOff>
      <xdr:row>29</xdr:row>
      <xdr:rowOff>114300</xdr:rowOff>
    </xdr:to>
    <xdr:pic>
      <xdr:nvPicPr>
        <xdr:cNvPr id="3" name="Picture 1">
          <a:extLst>
            <a:ext uri="{FF2B5EF4-FFF2-40B4-BE49-F238E27FC236}">
              <a16:creationId xmlns:a16="http://schemas.microsoft.com/office/drawing/2014/main" id="{DC53FC7B-C785-1186-47A1-26F3193609DE}"/>
            </a:ext>
          </a:extLst>
        </xdr:cNvPr>
        <xdr:cNvPicPr>
          <a:picLocks noChangeAspect="1"/>
        </xdr:cNvPicPr>
      </xdr:nvPicPr>
      <xdr:blipFill>
        <a:blip xmlns:r="http://schemas.openxmlformats.org/officeDocument/2006/relationships" r:embed="rId1"/>
        <a:stretch>
          <a:fillRect/>
        </a:stretch>
      </xdr:blipFill>
      <xdr:spPr>
        <a:xfrm>
          <a:off x="0" y="0"/>
          <a:ext cx="9220200" cy="5638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est User" id="{479B70E1-4ADC-4197-AA2B-AA889C10BEC4}" userI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827C79-73FD-4089-8C51-0522F2E0C484}" name="Table1" displayName="Table1" ref="A1:D3" totalsRowShown="0" headerRowDxfId="14">
  <autoFilter ref="A1:D3" xr:uid="{E7827C79-73FD-4089-8C51-0522F2E0C484}"/>
  <tableColumns count="4">
    <tableColumn id="1" xr3:uid="{A79E3CB5-B74F-4B2E-BE4F-00D62A7B9A79}" name="Trình tự" dataDxfId="13">
      <calculatedColumnFormula>A1+1</calculatedColumnFormula>
    </tableColumn>
    <tableColumn id="2" xr3:uid="{15BE0FE7-4D86-4DE5-921F-3CCC50B2FEF5}" name="thời gian"/>
    <tableColumn id="3" xr3:uid="{73A69F99-4BE2-47C1-9B9B-463A4FE42A79}" name="Nội dung chính" dataDxfId="12"/>
    <tableColumn id="4" xr3:uid="{AB671954-5E90-4650-B426-5B33765EC687}" name="Chi tiế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474A61-EC23-43FB-A686-E4B85FDDB1A6}" name="Table2" displayName="Table2" ref="A1:K1048576" totalsRowShown="0" dataDxfId="3">
  <autoFilter ref="A1:K1048576" xr:uid="{98474A61-EC23-43FB-A686-E4B85FDDB1A6}"/>
  <tableColumns count="11">
    <tableColumn id="1" xr3:uid="{8F962071-EB5B-4CA3-AB23-F1F2BE754ED3}" name="STT" dataDxfId="11"/>
    <tableColumn id="2" xr3:uid="{8DE7E4E6-3846-49E5-B9F2-61284451B060}" name="Họ tên" dataDxfId="10"/>
    <tableColumn id="3" xr3:uid="{091AD741-9EB4-4881-A3A8-96D148156BC9}" name="Phân loại chuyên gia" dataDxfId="9"/>
    <tableColumn id="4" xr3:uid="{F06FA320-546F-4FB6-AC62-69FD505FA8B1}" name="Chức vụ" dataDxfId="8"/>
    <tableColumn id="5" xr3:uid="{6F3FC9F1-90D6-4EA3-BFAF-D2262E4D3DA7}" name="Chứng chỉ" dataDxfId="7"/>
    <tableColumn id="6" xr3:uid="{8AC98D9A-BE13-4CD2-8215-9D7D0B896227}" name="Kinh nghiệm" dataDxfId="6"/>
    <tableColumn id="7" xr3:uid="{BBAE3786-6A35-442C-BC53-8424514FB757}" name="Chuyên môn:" dataDxfId="5"/>
    <tableColumn id="8" xr3:uid="{13E377B5-49EB-4272-BA23-E8A6BC1B0AF0}" name="Kỹ năng phần mềm " dataDxfId="2"/>
    <tableColumn id="9" xr3:uid="{F8D88833-A754-40E7-AC37-6624D6F43841}" name="Dự án tiêu biểu:" dataDxfId="0"/>
    <tableColumn id="10" xr3:uid="{B73408B6-B430-4056-B494-DEF22FD34649}" name="Thành tích nổi bật:" dataDxfId="1"/>
    <tableColumn id="11" xr3:uid="{3A9315AE-E6D7-4393-A0C0-7125089D31D6}" name="Hình ảnh cá nhân để trong NAS_x000a_X:\17. Website cong ty\Thong tin T27\Hinh anh chuyen gia"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11-20T01:06:48.23" personId="{479B70E1-4ADC-4197-AA2B-AA889C10BEC4}" id="{D513A03C-63B8-49CB-B723-862ED80B5C8F}">
    <text xml:space="preserve">ghi ten người nhập lên web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1BFC-CFC2-4D0A-AA9C-CC8A65D4C6C3}">
  <dimension ref="A1:BH13"/>
  <sheetViews>
    <sheetView workbookViewId="0">
      <pane xSplit="1" ySplit="1" topLeftCell="B6" activePane="bottomRight" state="frozen"/>
      <selection pane="topRight"/>
      <selection pane="bottomLeft"/>
      <selection pane="bottomRight"/>
    </sheetView>
  </sheetViews>
  <sheetFormatPr defaultRowHeight="15"/>
  <cols>
    <col min="1" max="1" width="27" style="3" bestFit="1" customWidth="1"/>
    <col min="2" max="2" width="37.42578125" style="3" customWidth="1"/>
    <col min="3" max="8" width="37.140625" style="3" customWidth="1"/>
    <col min="9" max="35" width="38.140625" style="3" customWidth="1"/>
    <col min="36" max="60" width="56.28515625" style="3" customWidth="1"/>
    <col min="61" max="88" width="56.28515625" customWidth="1"/>
  </cols>
  <sheetData>
    <row r="1" spans="1:60" ht="18.75">
      <c r="A1" s="8" t="s">
        <v>0</v>
      </c>
      <c r="B1" s="1" t="s">
        <v>1</v>
      </c>
      <c r="D1" s="1"/>
      <c r="E1" s="46"/>
      <c r="F1" s="1" t="s">
        <v>2</v>
      </c>
    </row>
    <row r="2" spans="1:60" s="7" customFormat="1" ht="60">
      <c r="A2" s="9" t="s">
        <v>3</v>
      </c>
      <c r="B2" s="5" t="s">
        <v>4</v>
      </c>
      <c r="C2" s="6" t="s">
        <v>5</v>
      </c>
      <c r="D2" s="5" t="s">
        <v>6</v>
      </c>
      <c r="E2" s="6" t="s">
        <v>7</v>
      </c>
      <c r="F2" s="5" t="s">
        <v>8</v>
      </c>
      <c r="G2" s="6" t="s">
        <v>9</v>
      </c>
      <c r="H2" s="6" t="s">
        <v>10</v>
      </c>
      <c r="I2" s="6" t="s">
        <v>11</v>
      </c>
      <c r="J2" s="6" t="s">
        <v>12</v>
      </c>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row>
    <row r="3" spans="1:60" ht="45">
      <c r="A3" s="10" t="s">
        <v>13</v>
      </c>
      <c r="B3" s="3" t="s">
        <v>14</v>
      </c>
      <c r="C3" s="3" t="s">
        <v>15</v>
      </c>
      <c r="D3" s="3" t="s">
        <v>15</v>
      </c>
      <c r="E3" s="3" t="s">
        <v>16</v>
      </c>
      <c r="F3" s="2" t="s">
        <v>17</v>
      </c>
      <c r="G3" s="3" t="s">
        <v>18</v>
      </c>
      <c r="H3" s="3" t="s">
        <v>19</v>
      </c>
      <c r="I3" s="3" t="s">
        <v>20</v>
      </c>
      <c r="J3" s="3" t="s">
        <v>21</v>
      </c>
    </row>
    <row r="4" spans="1:60" ht="30">
      <c r="A4" s="10" t="s">
        <v>22</v>
      </c>
      <c r="B4" s="2" t="s">
        <v>23</v>
      </c>
      <c r="C4" s="3" t="s">
        <v>24</v>
      </c>
      <c r="D4" s="2" t="s">
        <v>25</v>
      </c>
      <c r="E4" s="2" t="s">
        <v>26</v>
      </c>
      <c r="F4" s="2" t="s">
        <v>27</v>
      </c>
      <c r="G4" s="3" t="s">
        <v>28</v>
      </c>
      <c r="H4" s="3" t="s">
        <v>29</v>
      </c>
      <c r="J4" s="3" t="s">
        <v>30</v>
      </c>
    </row>
    <row r="5" spans="1:60" ht="45">
      <c r="A5" s="10" t="s">
        <v>31</v>
      </c>
      <c r="B5" s="2" t="s">
        <v>32</v>
      </c>
      <c r="C5" s="3" t="s">
        <v>33</v>
      </c>
      <c r="D5" s="2" t="s">
        <v>32</v>
      </c>
      <c r="E5" s="3" t="s">
        <v>34</v>
      </c>
      <c r="F5" s="2" t="s">
        <v>35</v>
      </c>
      <c r="G5" s="3" t="s">
        <v>36</v>
      </c>
      <c r="H5" s="3" t="s">
        <v>37</v>
      </c>
      <c r="I5" s="3" t="s">
        <v>38</v>
      </c>
      <c r="J5" s="3" t="s">
        <v>39</v>
      </c>
    </row>
    <row r="6" spans="1:60" ht="120">
      <c r="A6" s="10" t="s">
        <v>40</v>
      </c>
      <c r="B6" s="4" t="s">
        <v>41</v>
      </c>
      <c r="C6" s="2" t="s">
        <v>42</v>
      </c>
      <c r="D6" s="2" t="s">
        <v>42</v>
      </c>
      <c r="E6" s="2" t="s">
        <v>43</v>
      </c>
      <c r="F6" s="2" t="s">
        <v>44</v>
      </c>
      <c r="G6" s="3" t="s">
        <v>45</v>
      </c>
      <c r="H6" s="3" t="s">
        <v>46</v>
      </c>
      <c r="J6" s="3" t="s">
        <v>47</v>
      </c>
    </row>
    <row r="7" spans="1:60">
      <c r="A7" s="10" t="s">
        <v>48</v>
      </c>
      <c r="B7" s="3" t="s">
        <v>49</v>
      </c>
      <c r="C7" s="2" t="s">
        <v>42</v>
      </c>
      <c r="D7" s="2" t="s">
        <v>42</v>
      </c>
      <c r="E7" s="2" t="s">
        <v>50</v>
      </c>
      <c r="F7" s="2" t="s">
        <v>44</v>
      </c>
      <c r="G7" s="3" t="s">
        <v>51</v>
      </c>
      <c r="J7" s="3" t="s">
        <v>52</v>
      </c>
    </row>
    <row r="8" spans="1:60" ht="105">
      <c r="A8" s="10" t="s">
        <v>53</v>
      </c>
      <c r="B8" s="4" t="s">
        <v>54</v>
      </c>
      <c r="C8" s="2" t="s">
        <v>42</v>
      </c>
      <c r="D8" s="2" t="s">
        <v>42</v>
      </c>
      <c r="E8" s="2" t="s">
        <v>55</v>
      </c>
      <c r="F8" s="2" t="s">
        <v>44</v>
      </c>
    </row>
    <row r="9" spans="1:60" ht="150">
      <c r="A9" s="10" t="s">
        <v>56</v>
      </c>
      <c r="B9" s="4" t="s">
        <v>57</v>
      </c>
      <c r="C9" s="2" t="s">
        <v>42</v>
      </c>
      <c r="D9" s="2" t="s">
        <v>42</v>
      </c>
      <c r="E9" s="2" t="s">
        <v>58</v>
      </c>
      <c r="F9" s="2" t="s">
        <v>44</v>
      </c>
    </row>
    <row r="10" spans="1:60" ht="75">
      <c r="A10" s="10" t="s">
        <v>59</v>
      </c>
      <c r="B10" s="2" t="s">
        <v>60</v>
      </c>
      <c r="C10" s="2" t="s">
        <v>42</v>
      </c>
      <c r="D10" s="2" t="s">
        <v>42</v>
      </c>
      <c r="E10" s="2" t="s">
        <v>61</v>
      </c>
      <c r="F10" s="2" t="s">
        <v>44</v>
      </c>
    </row>
    <row r="11" spans="1:60">
      <c r="A11" s="10" t="s">
        <v>62</v>
      </c>
      <c r="B11" s="2">
        <v>2018</v>
      </c>
      <c r="C11" s="2" t="s">
        <v>42</v>
      </c>
      <c r="D11" s="2" t="s">
        <v>63</v>
      </c>
      <c r="E11" s="2">
        <v>2021</v>
      </c>
      <c r="F11" s="2" t="s">
        <v>44</v>
      </c>
    </row>
    <row r="12" spans="1:60">
      <c r="A12" s="10" t="s">
        <v>64</v>
      </c>
      <c r="B12" s="2">
        <v>2023</v>
      </c>
      <c r="C12" s="2" t="s">
        <v>42</v>
      </c>
      <c r="D12" s="2" t="s">
        <v>63</v>
      </c>
      <c r="E12" s="2">
        <v>2025</v>
      </c>
      <c r="F12" s="2" t="s">
        <v>44</v>
      </c>
    </row>
    <row r="13" spans="1:60" ht="45">
      <c r="A13" s="10" t="s">
        <v>65</v>
      </c>
      <c r="B13" s="2" t="s">
        <v>66</v>
      </c>
      <c r="C13" s="2" t="s">
        <v>42</v>
      </c>
      <c r="D13" s="2" t="s">
        <v>67</v>
      </c>
      <c r="E13" s="2"/>
      <c r="F13" s="2" t="s">
        <v>68</v>
      </c>
    </row>
  </sheetData>
  <pageMargins left="0.7" right="0.7"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1908-D0AA-4849-90BB-F2155B7C0824}">
  <sheetPr>
    <tabColor theme="6" tint="0.39997558519241921"/>
  </sheetPr>
  <dimension ref="A1:D22"/>
  <sheetViews>
    <sheetView workbookViewId="0">
      <selection activeCell="E25" sqref="E25"/>
    </sheetView>
  </sheetViews>
  <sheetFormatPr defaultRowHeight="15"/>
  <cols>
    <col min="1" max="1" width="9.42578125" bestFit="1" customWidth="1"/>
    <col min="2" max="2" width="12.7109375" style="11" customWidth="1"/>
    <col min="3" max="3" width="48.28515625" style="3" bestFit="1" customWidth="1"/>
    <col min="4" max="4" width="61.5703125" customWidth="1"/>
  </cols>
  <sheetData>
    <row r="1" spans="1:4" s="13" customFormat="1">
      <c r="A1" s="13" t="s">
        <v>69</v>
      </c>
      <c r="B1" s="13" t="s">
        <v>70</v>
      </c>
      <c r="C1" s="14" t="s">
        <v>71</v>
      </c>
      <c r="D1" s="13" t="s">
        <v>72</v>
      </c>
    </row>
    <row r="2" spans="1:4" ht="30">
      <c r="A2" s="11">
        <v>1</v>
      </c>
      <c r="B2" s="12" t="s">
        <v>73</v>
      </c>
      <c r="C2" s="3" t="s">
        <v>74</v>
      </c>
      <c r="D2" s="3" t="s">
        <v>75</v>
      </c>
    </row>
    <row r="3" spans="1:4">
      <c r="A3" s="11">
        <f>A2+1</f>
        <v>2</v>
      </c>
      <c r="B3" s="11">
        <v>2007</v>
      </c>
      <c r="C3" s="3" t="s">
        <v>76</v>
      </c>
      <c r="D3" t="s">
        <v>77</v>
      </c>
    </row>
    <row r="4" spans="1:4">
      <c r="A4" s="11">
        <f t="shared" ref="A4:A22" si="0">A3+1</f>
        <v>3</v>
      </c>
      <c r="B4" s="11">
        <v>2010</v>
      </c>
      <c r="C4" s="16" t="s">
        <v>78</v>
      </c>
      <c r="D4" t="s">
        <v>79</v>
      </c>
    </row>
    <row r="5" spans="1:4">
      <c r="A5" s="11">
        <f t="shared" si="0"/>
        <v>4</v>
      </c>
      <c r="B5" s="11">
        <v>2020</v>
      </c>
      <c r="C5" s="17" t="s">
        <v>80</v>
      </c>
      <c r="D5" t="s">
        <v>81</v>
      </c>
    </row>
    <row r="6" spans="1:4">
      <c r="A6" s="11">
        <f t="shared" si="0"/>
        <v>5</v>
      </c>
      <c r="B6" s="11">
        <v>2024</v>
      </c>
      <c r="C6" s="17" t="s">
        <v>82</v>
      </c>
      <c r="D6" t="s">
        <v>83</v>
      </c>
    </row>
    <row r="7" spans="1:4">
      <c r="A7" s="11">
        <f t="shared" si="0"/>
        <v>6</v>
      </c>
      <c r="B7" s="11">
        <v>2025</v>
      </c>
      <c r="C7" s="17" t="s">
        <v>84</v>
      </c>
      <c r="D7" t="s">
        <v>85</v>
      </c>
    </row>
    <row r="8" spans="1:4">
      <c r="A8" s="11">
        <f t="shared" si="0"/>
        <v>7</v>
      </c>
    </row>
    <row r="9" spans="1:4">
      <c r="A9" s="11">
        <f t="shared" si="0"/>
        <v>8</v>
      </c>
    </row>
    <row r="10" spans="1:4">
      <c r="A10" s="11">
        <f t="shared" si="0"/>
        <v>9</v>
      </c>
    </row>
    <row r="11" spans="1:4">
      <c r="A11" s="11">
        <f t="shared" si="0"/>
        <v>10</v>
      </c>
    </row>
    <row r="12" spans="1:4">
      <c r="A12" s="11">
        <f t="shared" si="0"/>
        <v>11</v>
      </c>
    </row>
    <row r="13" spans="1:4">
      <c r="A13" s="11">
        <f t="shared" si="0"/>
        <v>12</v>
      </c>
    </row>
    <row r="14" spans="1:4">
      <c r="A14" s="11">
        <f t="shared" si="0"/>
        <v>13</v>
      </c>
    </row>
    <row r="15" spans="1:4">
      <c r="A15" s="11">
        <f t="shared" si="0"/>
        <v>14</v>
      </c>
    </row>
    <row r="16" spans="1:4">
      <c r="A16" s="11">
        <f t="shared" si="0"/>
        <v>15</v>
      </c>
    </row>
    <row r="17" spans="1:1">
      <c r="A17" s="11">
        <f t="shared" si="0"/>
        <v>16</v>
      </c>
    </row>
    <row r="18" spans="1:1">
      <c r="A18" s="11">
        <f t="shared" si="0"/>
        <v>17</v>
      </c>
    </row>
    <row r="19" spans="1:1">
      <c r="A19" s="11">
        <f t="shared" si="0"/>
        <v>18</v>
      </c>
    </row>
    <row r="20" spans="1:1">
      <c r="A20" s="11">
        <f t="shared" si="0"/>
        <v>19</v>
      </c>
    </row>
    <row r="21" spans="1:1">
      <c r="A21" s="11">
        <f t="shared" si="0"/>
        <v>20</v>
      </c>
    </row>
    <row r="22" spans="1:1">
      <c r="A22" s="11">
        <f t="shared" si="0"/>
        <v>21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B287A-0FBF-451E-8533-A0A3AE4754F1}">
  <sheetPr>
    <tabColor theme="6" tint="0.39997558519241921"/>
  </sheetPr>
  <dimension ref="A1"/>
  <sheetViews>
    <sheetView workbookViewId="0">
      <selection activeCell="T18" sqref="T18"/>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BD58-4EB7-4775-8765-CF53B7DDB240}">
  <sheetPr>
    <tabColor rgb="FFFF0000"/>
  </sheetPr>
  <dimension ref="A1:C19"/>
  <sheetViews>
    <sheetView workbookViewId="0">
      <selection activeCell="C1" sqref="C1:C7"/>
    </sheetView>
  </sheetViews>
  <sheetFormatPr defaultRowHeight="15"/>
  <cols>
    <col min="1" max="1" width="9.28515625" style="11"/>
    <col min="2" max="2" width="47.7109375" customWidth="1"/>
    <col min="3" max="3" width="72.85546875" customWidth="1"/>
  </cols>
  <sheetData>
    <row r="1" spans="1:3" s="13" customFormat="1">
      <c r="A1" s="13" t="s">
        <v>86</v>
      </c>
      <c r="B1" s="13" t="s">
        <v>87</v>
      </c>
      <c r="C1" s="13" t="s">
        <v>88</v>
      </c>
    </row>
    <row r="2" spans="1:3">
      <c r="A2" s="11">
        <v>1</v>
      </c>
      <c r="B2" s="15" t="s">
        <v>89</v>
      </c>
    </row>
    <row r="3" spans="1:3">
      <c r="A3" s="11">
        <f t="shared" ref="A3:A19" si="0">A2+1</f>
        <v>2</v>
      </c>
      <c r="B3" t="s">
        <v>90</v>
      </c>
    </row>
    <row r="4" spans="1:3">
      <c r="A4" s="11">
        <f t="shared" si="0"/>
        <v>3</v>
      </c>
      <c r="B4" t="s">
        <v>91</v>
      </c>
    </row>
    <row r="5" spans="1:3">
      <c r="A5" s="11">
        <f t="shared" si="0"/>
        <v>4</v>
      </c>
      <c r="B5" t="s">
        <v>92</v>
      </c>
    </row>
    <row r="6" spans="1:3">
      <c r="A6" s="11">
        <f t="shared" si="0"/>
        <v>5</v>
      </c>
      <c r="B6" t="s">
        <v>93</v>
      </c>
    </row>
    <row r="7" spans="1:3">
      <c r="A7" s="11">
        <f t="shared" si="0"/>
        <v>6</v>
      </c>
      <c r="B7" t="s">
        <v>94</v>
      </c>
    </row>
    <row r="8" spans="1:3">
      <c r="A8" s="11">
        <f t="shared" si="0"/>
        <v>7</v>
      </c>
    </row>
    <row r="9" spans="1:3">
      <c r="A9" s="11">
        <f t="shared" si="0"/>
        <v>8</v>
      </c>
    </row>
    <row r="10" spans="1:3">
      <c r="A10" s="11">
        <f t="shared" si="0"/>
        <v>9</v>
      </c>
    </row>
    <row r="11" spans="1:3">
      <c r="A11" s="11">
        <f t="shared" si="0"/>
        <v>10</v>
      </c>
    </row>
    <row r="12" spans="1:3">
      <c r="A12" s="11">
        <f t="shared" si="0"/>
        <v>11</v>
      </c>
    </row>
    <row r="13" spans="1:3">
      <c r="A13" s="11">
        <f t="shared" si="0"/>
        <v>12</v>
      </c>
    </row>
    <row r="14" spans="1:3">
      <c r="A14" s="11">
        <f t="shared" si="0"/>
        <v>13</v>
      </c>
    </row>
    <row r="15" spans="1:3">
      <c r="A15" s="11">
        <f t="shared" si="0"/>
        <v>14</v>
      </c>
    </row>
    <row r="16" spans="1:3">
      <c r="A16" s="11">
        <f t="shared" si="0"/>
        <v>15</v>
      </c>
    </row>
    <row r="17" spans="1:1">
      <c r="A17" s="11">
        <f t="shared" si="0"/>
        <v>16</v>
      </c>
    </row>
    <row r="18" spans="1:1">
      <c r="A18" s="11">
        <f t="shared" si="0"/>
        <v>17</v>
      </c>
    </row>
    <row r="19" spans="1:1">
      <c r="A19" s="11">
        <f t="shared" si="0"/>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AFAC-0F89-4E82-9C84-66930F26E269}">
  <sheetPr>
    <tabColor rgb="FFFF0000"/>
  </sheetPr>
  <dimension ref="A1:BH18"/>
  <sheetViews>
    <sheetView workbookViewId="0">
      <pane xSplit="1" topLeftCell="J1" activePane="topRight" state="frozen"/>
      <selection pane="topRight" activeCell="K4" sqref="K4"/>
    </sheetView>
  </sheetViews>
  <sheetFormatPr defaultRowHeight="15"/>
  <cols>
    <col min="1" max="1" width="25.28515625" style="22" customWidth="1"/>
    <col min="2" max="2" width="37.42578125" style="3" customWidth="1"/>
    <col min="3" max="4" width="37.140625" style="3" customWidth="1"/>
    <col min="5" max="5" width="44.42578125" style="3" customWidth="1"/>
    <col min="6" max="8" width="37.140625" style="3" customWidth="1"/>
    <col min="9" max="35" width="38.140625" style="3" customWidth="1"/>
    <col min="36" max="60" width="56.28515625" style="3" customWidth="1"/>
    <col min="61" max="88" width="56.28515625" customWidth="1"/>
  </cols>
  <sheetData>
    <row r="1" spans="1:60" s="51" customFormat="1" ht="37.5">
      <c r="A1" s="47" t="s">
        <v>0</v>
      </c>
      <c r="B1" s="48" t="s">
        <v>95</v>
      </c>
      <c r="C1" s="49" t="s">
        <v>96</v>
      </c>
      <c r="D1" s="49" t="s">
        <v>96</v>
      </c>
      <c r="E1" s="49" t="s">
        <v>96</v>
      </c>
      <c r="F1" s="49" t="s">
        <v>96</v>
      </c>
      <c r="G1" s="49" t="s">
        <v>96</v>
      </c>
      <c r="H1" s="49" t="s">
        <v>96</v>
      </c>
      <c r="I1" s="49" t="s">
        <v>96</v>
      </c>
      <c r="J1" s="49" t="s">
        <v>96</v>
      </c>
      <c r="K1" s="49" t="s">
        <v>96</v>
      </c>
      <c r="L1" s="49" t="s">
        <v>96</v>
      </c>
      <c r="M1" s="49" t="s">
        <v>96</v>
      </c>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row>
    <row r="2" spans="1:60">
      <c r="A2" s="21" t="s">
        <v>97</v>
      </c>
      <c r="B2" s="1">
        <v>1</v>
      </c>
      <c r="C2" s="14">
        <f>B2+1</f>
        <v>2</v>
      </c>
      <c r="D2" s="14">
        <f t="shared" ref="D2:R2" si="0">C2+1</f>
        <v>3</v>
      </c>
      <c r="E2" s="14">
        <f t="shared" si="0"/>
        <v>4</v>
      </c>
      <c r="F2" s="14">
        <f t="shared" si="0"/>
        <v>5</v>
      </c>
      <c r="G2" s="14">
        <f t="shared" si="0"/>
        <v>6</v>
      </c>
      <c r="H2" s="14">
        <f t="shared" si="0"/>
        <v>7</v>
      </c>
      <c r="I2" s="14">
        <f t="shared" si="0"/>
        <v>8</v>
      </c>
      <c r="J2" s="14">
        <f t="shared" si="0"/>
        <v>9</v>
      </c>
      <c r="K2" s="14">
        <f t="shared" si="0"/>
        <v>10</v>
      </c>
      <c r="L2" s="14">
        <f t="shared" si="0"/>
        <v>11</v>
      </c>
      <c r="M2" s="14">
        <f t="shared" si="0"/>
        <v>12</v>
      </c>
      <c r="N2" s="14">
        <f t="shared" si="0"/>
        <v>13</v>
      </c>
      <c r="O2" s="14">
        <f t="shared" si="0"/>
        <v>14</v>
      </c>
      <c r="P2" s="14">
        <f t="shared" si="0"/>
        <v>15</v>
      </c>
      <c r="Q2" s="14">
        <f t="shared" si="0"/>
        <v>16</v>
      </c>
      <c r="R2" s="14">
        <f t="shared" si="0"/>
        <v>17</v>
      </c>
    </row>
    <row r="3" spans="1:60" s="20" customFormat="1" ht="120">
      <c r="A3" s="21" t="s">
        <v>98</v>
      </c>
      <c r="B3" s="18" t="s">
        <v>4</v>
      </c>
      <c r="C3" s="65" t="s">
        <v>99</v>
      </c>
      <c r="D3" s="18" t="s">
        <v>6</v>
      </c>
      <c r="E3" s="18" t="s">
        <v>7</v>
      </c>
      <c r="F3" s="18" t="s">
        <v>8</v>
      </c>
      <c r="G3" s="18" t="s">
        <v>9</v>
      </c>
      <c r="H3" s="18" t="s">
        <v>10</v>
      </c>
      <c r="I3" s="18" t="s">
        <v>11</v>
      </c>
      <c r="J3" s="18" t="s">
        <v>12</v>
      </c>
      <c r="K3" s="65" t="s">
        <v>100</v>
      </c>
      <c r="L3" s="65" t="s">
        <v>101</v>
      </c>
      <c r="M3" s="18" t="s">
        <v>102</v>
      </c>
      <c r="N3" s="38" t="s">
        <v>103</v>
      </c>
      <c r="O3" s="38" t="s">
        <v>104</v>
      </c>
      <c r="P3" s="38" t="s">
        <v>105</v>
      </c>
      <c r="Q3" s="38" t="s">
        <v>106</v>
      </c>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row>
    <row r="4" spans="1:60" s="33" customFormat="1" ht="409.5" customHeight="1">
      <c r="A4" s="36" t="s">
        <v>107</v>
      </c>
      <c r="B4" s="46" t="s">
        <v>108</v>
      </c>
      <c r="C4" s="37" t="s">
        <v>109</v>
      </c>
      <c r="D4" s="46" t="s">
        <v>110</v>
      </c>
      <c r="E4" s="46" t="s">
        <v>111</v>
      </c>
      <c r="F4" s="46" t="s">
        <v>112</v>
      </c>
      <c r="G4" s="43" t="s">
        <v>113</v>
      </c>
      <c r="H4" s="46" t="s">
        <v>114</v>
      </c>
      <c r="I4" s="46" t="s">
        <v>115</v>
      </c>
      <c r="J4" s="44" t="s">
        <v>116</v>
      </c>
      <c r="K4" s="46" t="s">
        <v>117</v>
      </c>
      <c r="L4" s="46" t="s">
        <v>118</v>
      </c>
      <c r="M4" s="46" t="s">
        <v>119</v>
      </c>
      <c r="N4" s="46" t="s">
        <v>120</v>
      </c>
      <c r="O4" s="46" t="s">
        <v>121</v>
      </c>
      <c r="P4" s="46" t="s">
        <v>122</v>
      </c>
      <c r="Q4" s="46" t="s">
        <v>123</v>
      </c>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row>
    <row r="5" spans="1:60" ht="30">
      <c r="A5" s="21" t="s">
        <v>124</v>
      </c>
      <c r="B5" s="2" t="s">
        <v>125</v>
      </c>
      <c r="C5" s="2" t="s">
        <v>126</v>
      </c>
      <c r="D5" s="2" t="s">
        <v>126</v>
      </c>
      <c r="E5" s="2" t="s">
        <v>127</v>
      </c>
      <c r="F5" s="2" t="s">
        <v>128</v>
      </c>
      <c r="G5" s="2" t="s">
        <v>127</v>
      </c>
      <c r="H5" s="2" t="s">
        <v>127</v>
      </c>
      <c r="I5" s="2" t="s">
        <v>129</v>
      </c>
      <c r="J5" s="2" t="s">
        <v>129</v>
      </c>
      <c r="K5" s="3" t="s">
        <v>130</v>
      </c>
      <c r="L5" s="3" t="s">
        <v>131</v>
      </c>
      <c r="M5" s="3" t="s">
        <v>132</v>
      </c>
      <c r="N5" s="3" t="s">
        <v>133</v>
      </c>
      <c r="O5" s="3" t="s">
        <v>131</v>
      </c>
      <c r="P5" s="3" t="s">
        <v>131</v>
      </c>
      <c r="Q5" s="3" t="s">
        <v>134</v>
      </c>
    </row>
    <row r="6" spans="1:60">
      <c r="A6" s="21" t="s">
        <v>135</v>
      </c>
      <c r="B6" s="2" t="s">
        <v>136</v>
      </c>
      <c r="C6" s="3" t="s">
        <v>137</v>
      </c>
      <c r="D6" s="2" t="s">
        <v>138</v>
      </c>
      <c r="E6" s="3" t="s">
        <v>139</v>
      </c>
      <c r="F6" s="2" t="s">
        <v>140</v>
      </c>
      <c r="G6" s="3" t="s">
        <v>141</v>
      </c>
      <c r="H6" s="3" t="s">
        <v>142</v>
      </c>
      <c r="I6" s="3" t="s">
        <v>143</v>
      </c>
      <c r="J6" s="3" t="s">
        <v>144</v>
      </c>
      <c r="K6" s="3" t="s">
        <v>145</v>
      </c>
      <c r="L6" s="3" t="s">
        <v>146</v>
      </c>
      <c r="M6" s="3" t="s">
        <v>147</v>
      </c>
      <c r="N6" s="3" t="s">
        <v>148</v>
      </c>
      <c r="O6" s="3" t="s">
        <v>149</v>
      </c>
      <c r="P6" s="3" t="s">
        <v>150</v>
      </c>
      <c r="Q6" s="3" t="s">
        <v>151</v>
      </c>
    </row>
    <row r="7" spans="1:60" ht="30">
      <c r="A7" s="21" t="s">
        <v>152</v>
      </c>
      <c r="B7" s="3" t="s">
        <v>153</v>
      </c>
      <c r="C7" s="3" t="s">
        <v>153</v>
      </c>
      <c r="D7" s="3" t="s">
        <v>153</v>
      </c>
      <c r="E7" s="2" t="s">
        <v>19</v>
      </c>
      <c r="F7" s="2" t="s">
        <v>154</v>
      </c>
      <c r="G7" s="3" t="s">
        <v>155</v>
      </c>
      <c r="H7" s="3" t="s">
        <v>156</v>
      </c>
      <c r="I7" s="3" t="s">
        <v>153</v>
      </c>
      <c r="J7" s="3" t="s">
        <v>153</v>
      </c>
      <c r="K7" s="3" t="s">
        <v>153</v>
      </c>
      <c r="L7" s="3" t="s">
        <v>153</v>
      </c>
      <c r="M7" s="3" t="s">
        <v>157</v>
      </c>
      <c r="N7" s="3" t="s">
        <v>158</v>
      </c>
      <c r="O7" s="3" t="s">
        <v>159</v>
      </c>
      <c r="P7" s="3" t="s">
        <v>159</v>
      </c>
      <c r="Q7" s="3" t="s">
        <v>160</v>
      </c>
    </row>
    <row r="8" spans="1:60" ht="45">
      <c r="A8" s="21" t="s">
        <v>161</v>
      </c>
      <c r="B8" s="4" t="s">
        <v>162</v>
      </c>
      <c r="C8" s="2" t="s">
        <v>163</v>
      </c>
      <c r="D8" s="2" t="s">
        <v>163</v>
      </c>
      <c r="E8" s="2" t="s">
        <v>164</v>
      </c>
      <c r="F8" s="2" t="s">
        <v>165</v>
      </c>
      <c r="G8" s="3" t="s">
        <v>165</v>
      </c>
      <c r="H8" s="3" t="s">
        <v>166</v>
      </c>
      <c r="I8" s="3" t="s">
        <v>167</v>
      </c>
      <c r="J8" s="3" t="s">
        <v>168</v>
      </c>
      <c r="K8" s="3" t="s">
        <v>168</v>
      </c>
      <c r="L8" s="3" t="s">
        <v>168</v>
      </c>
      <c r="M8" s="3" t="s">
        <v>169</v>
      </c>
      <c r="N8" s="3" t="s">
        <v>170</v>
      </c>
      <c r="O8" s="3" t="s">
        <v>168</v>
      </c>
      <c r="P8" s="3" t="s">
        <v>168</v>
      </c>
      <c r="Q8" s="3" t="s">
        <v>165</v>
      </c>
    </row>
    <row r="9" spans="1:60">
      <c r="A9" s="22" t="s">
        <v>171</v>
      </c>
      <c r="B9" s="3" t="s">
        <v>172</v>
      </c>
      <c r="C9" s="3" t="s">
        <v>173</v>
      </c>
      <c r="D9" s="3" t="s">
        <v>174</v>
      </c>
      <c r="E9" s="3" t="s">
        <v>175</v>
      </c>
      <c r="F9" s="3" t="s">
        <v>176</v>
      </c>
      <c r="G9" s="3" t="s">
        <v>177</v>
      </c>
      <c r="H9" s="3" t="s">
        <v>178</v>
      </c>
      <c r="I9" s="3" t="s">
        <v>179</v>
      </c>
      <c r="K9" s="3" t="s">
        <v>180</v>
      </c>
      <c r="L9" s="3" t="s">
        <v>181</v>
      </c>
      <c r="M9" s="3" t="s">
        <v>182</v>
      </c>
      <c r="N9" s="3" t="s">
        <v>183</v>
      </c>
      <c r="O9" s="3" t="s">
        <v>184</v>
      </c>
      <c r="Q9" s="3" t="s">
        <v>185</v>
      </c>
    </row>
    <row r="10" spans="1:60" ht="30">
      <c r="A10" s="22" t="s">
        <v>186</v>
      </c>
    </row>
    <row r="11" spans="1:60" ht="45">
      <c r="A11" s="23" t="s">
        <v>187</v>
      </c>
      <c r="B11" s="3" t="s">
        <v>188</v>
      </c>
      <c r="C11" s="3" t="s">
        <v>189</v>
      </c>
      <c r="D11" s="3" t="s">
        <v>190</v>
      </c>
      <c r="F11" s="3" t="s">
        <v>191</v>
      </c>
      <c r="I11" s="3" t="s">
        <v>192</v>
      </c>
    </row>
    <row r="12" spans="1:60">
      <c r="A12" s="22" t="s">
        <v>193</v>
      </c>
    </row>
    <row r="13" spans="1:60" ht="45">
      <c r="A13" s="23" t="s">
        <v>187</v>
      </c>
      <c r="B13" s="3" t="s">
        <v>188</v>
      </c>
      <c r="G13" s="3" t="s">
        <v>194</v>
      </c>
    </row>
    <row r="14" spans="1:60" ht="240">
      <c r="A14" s="25" t="s">
        <v>195</v>
      </c>
      <c r="B14" s="3" t="s">
        <v>196</v>
      </c>
    </row>
    <row r="15" spans="1:60" ht="225">
      <c r="A15" s="25" t="s">
        <v>197</v>
      </c>
      <c r="B15" s="3" t="s">
        <v>198</v>
      </c>
    </row>
    <row r="16" spans="1:60" ht="111.75" customHeight="1">
      <c r="A16" s="25" t="s">
        <v>199</v>
      </c>
      <c r="B16" s="3" t="s">
        <v>200</v>
      </c>
    </row>
    <row r="17" spans="1:13" ht="30">
      <c r="A17" s="25" t="s">
        <v>201</v>
      </c>
      <c r="B17" s="24" t="s">
        <v>202</v>
      </c>
      <c r="C17" s="24" t="s">
        <v>203</v>
      </c>
      <c r="D17" s="24" t="s">
        <v>204</v>
      </c>
      <c r="E17" s="24" t="s">
        <v>205</v>
      </c>
      <c r="F17" s="24" t="s">
        <v>206</v>
      </c>
      <c r="G17" s="24" t="s">
        <v>207</v>
      </c>
      <c r="H17" s="24" t="s">
        <v>208</v>
      </c>
      <c r="I17" s="24" t="s">
        <v>209</v>
      </c>
      <c r="J17" s="24" t="s">
        <v>210</v>
      </c>
      <c r="K17" s="24" t="s">
        <v>211</v>
      </c>
      <c r="L17" s="24" t="s">
        <v>212</v>
      </c>
      <c r="M17" s="3" t="s">
        <v>212</v>
      </c>
    </row>
    <row r="18" spans="1:13" ht="45">
      <c r="A18" s="25" t="s">
        <v>213</v>
      </c>
      <c r="B18" s="24" t="s">
        <v>214</v>
      </c>
      <c r="C18" s="24" t="s">
        <v>215</v>
      </c>
      <c r="D18" s="3" t="s">
        <v>216</v>
      </c>
      <c r="E18" s="3" t="s">
        <v>217</v>
      </c>
      <c r="F18" s="24" t="s">
        <v>218</v>
      </c>
      <c r="G18" s="24" t="s">
        <v>219</v>
      </c>
      <c r="H18" s="3" t="s">
        <v>220</v>
      </c>
      <c r="I18" s="24" t="s">
        <v>221</v>
      </c>
      <c r="J18" s="24" t="s">
        <v>222</v>
      </c>
      <c r="K18" s="24" t="s">
        <v>223</v>
      </c>
      <c r="L18" s="24" t="s">
        <v>224</v>
      </c>
      <c r="M18" s="24" t="s">
        <v>223</v>
      </c>
    </row>
  </sheetData>
  <pageMargins left="0.7" right="0.7" top="0.75" bottom="0.75" header="0.3" footer="0.3"/>
  <pageSetup paperSize="8"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6D2A-FB17-428B-BA74-25E409EDE99A}">
  <sheetPr>
    <tabColor rgb="FFFF0000"/>
  </sheetPr>
  <dimension ref="A1:K62"/>
  <sheetViews>
    <sheetView tabSelected="1" workbookViewId="0">
      <pane ySplit="1" topLeftCell="A55" activePane="bottomLeft" state="frozen"/>
      <selection pane="bottomLeft" activeCell="J56" sqref="J56"/>
    </sheetView>
  </sheetViews>
  <sheetFormatPr defaultColWidth="9" defaultRowHeight="15"/>
  <cols>
    <col min="1" max="1" width="7.140625" style="46" customWidth="1"/>
    <col min="2" max="2" width="18.7109375" style="2" customWidth="1"/>
    <col min="3" max="3" width="25.5703125" style="2" customWidth="1"/>
    <col min="4" max="4" width="22.42578125" style="2" customWidth="1"/>
    <col min="5" max="5" width="50.7109375" style="2" customWidth="1"/>
    <col min="6" max="6" width="24.85546875" style="2" customWidth="1"/>
    <col min="7" max="7" width="26.85546875" style="2" customWidth="1"/>
    <col min="8" max="8" width="24.85546875" style="2" customWidth="1"/>
    <col min="9" max="9" width="32.42578125" style="26" customWidth="1"/>
    <col min="10" max="11" width="24.85546875" style="2" customWidth="1"/>
    <col min="12" max="16384" width="9" style="32"/>
  </cols>
  <sheetData>
    <row r="1" spans="1:11" s="42" customFormat="1" ht="110.25" customHeight="1">
      <c r="A1" s="41" t="s">
        <v>86</v>
      </c>
      <c r="B1" s="41" t="s">
        <v>225</v>
      </c>
      <c r="C1" s="41" t="s">
        <v>226</v>
      </c>
      <c r="D1" s="41" t="s">
        <v>227</v>
      </c>
      <c r="E1" s="41" t="s">
        <v>228</v>
      </c>
      <c r="F1" s="52" t="s">
        <v>229</v>
      </c>
      <c r="G1" s="52" t="s">
        <v>230</v>
      </c>
      <c r="H1" s="45" t="s">
        <v>231</v>
      </c>
      <c r="I1" s="66" t="s">
        <v>232</v>
      </c>
      <c r="J1" s="41" t="s">
        <v>233</v>
      </c>
      <c r="K1" s="59" t="s">
        <v>234</v>
      </c>
    </row>
    <row r="2" spans="1:11" s="62" customFormat="1" ht="30">
      <c r="A2" s="60">
        <v>1</v>
      </c>
      <c r="B2" s="61" t="s">
        <v>235</v>
      </c>
      <c r="C2" s="61" t="s">
        <v>236</v>
      </c>
      <c r="D2" s="61" t="s">
        <v>237</v>
      </c>
      <c r="E2" s="61" t="s">
        <v>238</v>
      </c>
      <c r="F2" s="61" t="s">
        <v>239</v>
      </c>
      <c r="G2" s="61" t="s">
        <v>240</v>
      </c>
      <c r="H2" s="61" t="s">
        <v>241</v>
      </c>
      <c r="I2" s="67"/>
      <c r="J2" s="61"/>
      <c r="K2" s="61"/>
    </row>
    <row r="3" spans="1:11" ht="75">
      <c r="A3" s="46">
        <f>A2+1</f>
        <v>2</v>
      </c>
      <c r="B3" s="2" t="s">
        <v>242</v>
      </c>
      <c r="C3" s="2" t="s">
        <v>236</v>
      </c>
      <c r="D3" s="2" t="s">
        <v>243</v>
      </c>
      <c r="E3" s="2" t="s">
        <v>238</v>
      </c>
      <c r="F3" s="2" t="s">
        <v>244</v>
      </c>
      <c r="G3" s="2" t="s">
        <v>245</v>
      </c>
      <c r="H3" s="2" t="s">
        <v>241</v>
      </c>
      <c r="I3" s="27" t="s">
        <v>246</v>
      </c>
    </row>
    <row r="4" spans="1:11" ht="75">
      <c r="A4" s="46">
        <f t="shared" ref="A4:A5" si="0">A3+1</f>
        <v>3</v>
      </c>
      <c r="B4" s="2" t="s">
        <v>247</v>
      </c>
      <c r="C4" s="2" t="s">
        <v>236</v>
      </c>
      <c r="D4" s="2" t="s">
        <v>237</v>
      </c>
      <c r="E4" s="2" t="s">
        <v>248</v>
      </c>
      <c r="F4" s="2" t="s">
        <v>249</v>
      </c>
      <c r="G4" s="2" t="s">
        <v>250</v>
      </c>
      <c r="H4" s="2" t="s">
        <v>251</v>
      </c>
      <c r="I4" s="27" t="s">
        <v>252</v>
      </c>
      <c r="K4" s="2" t="s">
        <v>253</v>
      </c>
    </row>
    <row r="5" spans="1:11" ht="30">
      <c r="A5" s="46">
        <f t="shared" si="0"/>
        <v>4</v>
      </c>
      <c r="B5" s="2" t="s">
        <v>254</v>
      </c>
      <c r="C5" s="2" t="s">
        <v>236</v>
      </c>
      <c r="D5" s="2" t="s">
        <v>255</v>
      </c>
      <c r="E5" s="2" t="s">
        <v>256</v>
      </c>
      <c r="F5" s="2" t="s">
        <v>257</v>
      </c>
      <c r="G5" s="2" t="s">
        <v>258</v>
      </c>
      <c r="H5" s="2" t="s">
        <v>241</v>
      </c>
      <c r="I5" s="26" t="s">
        <v>259</v>
      </c>
    </row>
    <row r="6" spans="1:11" ht="30">
      <c r="A6" s="46">
        <v>5</v>
      </c>
      <c r="B6" s="2" t="s">
        <v>260</v>
      </c>
      <c r="C6" s="2" t="s">
        <v>236</v>
      </c>
      <c r="D6" s="2" t="s">
        <v>255</v>
      </c>
      <c r="E6" s="2" t="s">
        <v>261</v>
      </c>
      <c r="F6" s="2" t="s">
        <v>262</v>
      </c>
      <c r="G6" s="2" t="s">
        <v>258</v>
      </c>
      <c r="H6" s="2" t="s">
        <v>241</v>
      </c>
      <c r="I6" s="27" t="s">
        <v>263</v>
      </c>
    </row>
    <row r="7" spans="1:11" ht="60">
      <c r="A7" s="46">
        <v>6</v>
      </c>
      <c r="B7" s="2" t="s">
        <v>264</v>
      </c>
      <c r="C7" s="2" t="s">
        <v>236</v>
      </c>
      <c r="D7" s="2" t="s">
        <v>265</v>
      </c>
      <c r="E7" s="39" t="s">
        <v>266</v>
      </c>
      <c r="F7" s="40" t="s">
        <v>267</v>
      </c>
      <c r="G7" s="2" t="s">
        <v>268</v>
      </c>
      <c r="H7" s="2" t="s">
        <v>241</v>
      </c>
      <c r="K7" s="2" t="s">
        <v>269</v>
      </c>
    </row>
    <row r="8" spans="1:11" ht="45">
      <c r="A8" s="46">
        <v>7</v>
      </c>
      <c r="B8" s="2" t="s">
        <v>270</v>
      </c>
      <c r="C8" s="2" t="s">
        <v>236</v>
      </c>
      <c r="D8" s="2" t="s">
        <v>265</v>
      </c>
      <c r="E8" s="2" t="s">
        <v>271</v>
      </c>
      <c r="F8" s="2" t="s">
        <v>272</v>
      </c>
      <c r="G8" s="2" t="s">
        <v>273</v>
      </c>
      <c r="H8" s="2" t="s">
        <v>274</v>
      </c>
      <c r="I8" s="26" t="s">
        <v>275</v>
      </c>
    </row>
    <row r="9" spans="1:11" ht="60">
      <c r="A9" s="46">
        <v>8</v>
      </c>
      <c r="B9" s="2" t="s">
        <v>276</v>
      </c>
      <c r="C9" s="2" t="s">
        <v>236</v>
      </c>
      <c r="D9" s="2" t="s">
        <v>277</v>
      </c>
      <c r="E9" s="2" t="s">
        <v>266</v>
      </c>
      <c r="F9" s="40" t="s">
        <v>267</v>
      </c>
      <c r="G9" s="2" t="s">
        <v>278</v>
      </c>
      <c r="H9" s="2" t="s">
        <v>279</v>
      </c>
      <c r="I9" s="27" t="s">
        <v>280</v>
      </c>
      <c r="K9" s="2" t="s">
        <v>281</v>
      </c>
    </row>
    <row r="10" spans="1:11" ht="120">
      <c r="A10" s="46">
        <v>9</v>
      </c>
      <c r="B10" s="2" t="s">
        <v>282</v>
      </c>
      <c r="C10" s="2" t="s">
        <v>236</v>
      </c>
      <c r="D10" s="2" t="s">
        <v>265</v>
      </c>
      <c r="E10" s="2" t="s">
        <v>283</v>
      </c>
      <c r="F10" s="2" t="s">
        <v>284</v>
      </c>
      <c r="G10" s="2" t="s">
        <v>285</v>
      </c>
      <c r="H10" s="2" t="s">
        <v>286</v>
      </c>
      <c r="I10" s="27" t="s">
        <v>287</v>
      </c>
      <c r="J10" s="4" t="s">
        <v>288</v>
      </c>
      <c r="K10" s="26" t="s">
        <v>289</v>
      </c>
    </row>
    <row r="11" spans="1:11" ht="60">
      <c r="A11" s="46">
        <v>10</v>
      </c>
      <c r="B11" s="2" t="s">
        <v>290</v>
      </c>
      <c r="C11" s="2" t="s">
        <v>236</v>
      </c>
      <c r="D11" s="2" t="s">
        <v>265</v>
      </c>
      <c r="E11" s="2" t="s">
        <v>266</v>
      </c>
      <c r="F11" s="2" t="s">
        <v>291</v>
      </c>
      <c r="G11" s="2" t="s">
        <v>273</v>
      </c>
      <c r="H11" s="2" t="s">
        <v>292</v>
      </c>
      <c r="I11" s="27" t="s">
        <v>293</v>
      </c>
      <c r="K11" s="2" t="s">
        <v>294</v>
      </c>
    </row>
    <row r="12" spans="1:11" ht="87" customHeight="1">
      <c r="A12" s="46">
        <v>11</v>
      </c>
      <c r="B12" s="2" t="s">
        <v>295</v>
      </c>
      <c r="C12" s="2" t="s">
        <v>236</v>
      </c>
      <c r="D12" s="2" t="s">
        <v>277</v>
      </c>
      <c r="E12" s="2" t="s">
        <v>266</v>
      </c>
      <c r="F12" s="2" t="s">
        <v>296</v>
      </c>
      <c r="G12" s="2" t="s">
        <v>273</v>
      </c>
      <c r="H12" s="2" t="s">
        <v>297</v>
      </c>
      <c r="I12" s="27" t="s">
        <v>298</v>
      </c>
      <c r="K12" s="2" t="s">
        <v>299</v>
      </c>
    </row>
    <row r="13" spans="1:11" ht="60">
      <c r="A13" s="46">
        <v>12</v>
      </c>
      <c r="B13" s="2" t="s">
        <v>300</v>
      </c>
      <c r="C13" s="2" t="s">
        <v>236</v>
      </c>
      <c r="D13" s="2" t="s">
        <v>301</v>
      </c>
      <c r="E13" s="2" t="s">
        <v>302</v>
      </c>
      <c r="F13" s="2" t="s">
        <v>303</v>
      </c>
      <c r="G13" s="2" t="s">
        <v>304</v>
      </c>
      <c r="H13" s="2" t="s">
        <v>241</v>
      </c>
      <c r="I13" s="68" t="s">
        <v>293</v>
      </c>
      <c r="K13" s="2" t="s">
        <v>305</v>
      </c>
    </row>
    <row r="14" spans="1:11" ht="60">
      <c r="A14" s="46">
        <v>13</v>
      </c>
      <c r="B14" s="2" t="s">
        <v>306</v>
      </c>
      <c r="C14" s="2" t="s">
        <v>236</v>
      </c>
      <c r="D14" s="2" t="s">
        <v>301</v>
      </c>
      <c r="E14" s="2" t="s">
        <v>307</v>
      </c>
      <c r="F14" s="2" t="s">
        <v>308</v>
      </c>
      <c r="G14" s="2" t="s">
        <v>309</v>
      </c>
      <c r="H14" s="2" t="s">
        <v>310</v>
      </c>
      <c r="I14" s="68" t="s">
        <v>293</v>
      </c>
      <c r="K14" s="2" t="s">
        <v>311</v>
      </c>
    </row>
    <row r="15" spans="1:11" ht="60">
      <c r="A15" s="46">
        <v>14</v>
      </c>
      <c r="B15" s="2" t="s">
        <v>312</v>
      </c>
      <c r="C15" s="2" t="s">
        <v>236</v>
      </c>
      <c r="D15" s="2" t="s">
        <v>277</v>
      </c>
      <c r="E15" s="2" t="s">
        <v>302</v>
      </c>
      <c r="F15" s="2" t="s">
        <v>313</v>
      </c>
      <c r="G15" s="2" t="s">
        <v>304</v>
      </c>
      <c r="H15" s="2" t="s">
        <v>241</v>
      </c>
      <c r="I15" s="68" t="s">
        <v>293</v>
      </c>
      <c r="K15" s="2" t="s">
        <v>314</v>
      </c>
    </row>
    <row r="16" spans="1:11" ht="60">
      <c r="A16" s="46">
        <v>15</v>
      </c>
      <c r="B16" s="2" t="s">
        <v>315</v>
      </c>
      <c r="C16" s="2" t="s">
        <v>236</v>
      </c>
      <c r="D16" s="2" t="s">
        <v>277</v>
      </c>
      <c r="E16" s="2" t="s">
        <v>316</v>
      </c>
      <c r="F16" s="2" t="s">
        <v>317</v>
      </c>
      <c r="G16" s="2" t="s">
        <v>304</v>
      </c>
      <c r="H16" s="2" t="s">
        <v>241</v>
      </c>
      <c r="I16" s="68" t="s">
        <v>293</v>
      </c>
      <c r="K16" s="2" t="s">
        <v>318</v>
      </c>
    </row>
    <row r="17" spans="1:11" ht="57">
      <c r="A17" s="46">
        <v>16</v>
      </c>
      <c r="B17" s="2" t="s">
        <v>319</v>
      </c>
      <c r="C17" s="2" t="s">
        <v>236</v>
      </c>
      <c r="D17" s="2" t="s">
        <v>277</v>
      </c>
      <c r="E17" s="2" t="s">
        <v>320</v>
      </c>
      <c r="F17" s="2" t="s">
        <v>321</v>
      </c>
      <c r="G17" s="2" t="s">
        <v>322</v>
      </c>
      <c r="I17" s="68" t="s">
        <v>323</v>
      </c>
    </row>
    <row r="18" spans="1:11" ht="60">
      <c r="A18" s="46">
        <v>17</v>
      </c>
      <c r="B18" s="2" t="s">
        <v>324</v>
      </c>
      <c r="C18" s="2" t="s">
        <v>236</v>
      </c>
      <c r="D18" s="2" t="s">
        <v>265</v>
      </c>
      <c r="E18" s="2" t="s">
        <v>325</v>
      </c>
      <c r="F18" s="2" t="s">
        <v>326</v>
      </c>
      <c r="G18" s="2" t="s">
        <v>327</v>
      </c>
      <c r="H18" s="2" t="s">
        <v>328</v>
      </c>
      <c r="I18" s="27" t="s">
        <v>329</v>
      </c>
      <c r="K18" s="2" t="s">
        <v>330</v>
      </c>
    </row>
    <row r="19" spans="1:11" ht="90">
      <c r="A19" s="46">
        <v>18</v>
      </c>
      <c r="B19" s="2" t="s">
        <v>331</v>
      </c>
      <c r="C19" s="2" t="s">
        <v>236</v>
      </c>
      <c r="D19" s="2" t="s">
        <v>332</v>
      </c>
      <c r="E19" s="2" t="s">
        <v>333</v>
      </c>
      <c r="F19" s="2" t="s">
        <v>334</v>
      </c>
      <c r="G19" s="2" t="s">
        <v>322</v>
      </c>
      <c r="I19" s="27" t="s">
        <v>335</v>
      </c>
      <c r="K19" s="2" t="s">
        <v>336</v>
      </c>
    </row>
    <row r="20" spans="1:11" ht="60">
      <c r="A20" s="46">
        <v>19</v>
      </c>
      <c r="B20" s="2" t="s">
        <v>337</v>
      </c>
      <c r="C20" s="2" t="s">
        <v>236</v>
      </c>
      <c r="D20" s="2" t="s">
        <v>277</v>
      </c>
      <c r="E20" s="2" t="s">
        <v>338</v>
      </c>
      <c r="F20" s="2" t="s">
        <v>339</v>
      </c>
      <c r="G20" s="2" t="s">
        <v>340</v>
      </c>
      <c r="H20" s="2" t="s">
        <v>241</v>
      </c>
      <c r="I20" s="27" t="s">
        <v>341</v>
      </c>
    </row>
    <row r="21" spans="1:11" ht="120">
      <c r="A21" s="46">
        <v>20</v>
      </c>
      <c r="B21" s="2" t="s">
        <v>342</v>
      </c>
      <c r="C21" s="2" t="s">
        <v>236</v>
      </c>
      <c r="D21" s="2" t="s">
        <v>277</v>
      </c>
      <c r="F21" s="2" t="s">
        <v>343</v>
      </c>
      <c r="G21" s="2" t="s">
        <v>344</v>
      </c>
      <c r="H21" s="2" t="s">
        <v>345</v>
      </c>
      <c r="I21" s="26" t="s">
        <v>346</v>
      </c>
      <c r="J21" s="4" t="s">
        <v>288</v>
      </c>
      <c r="K21" s="2" t="s">
        <v>347</v>
      </c>
    </row>
    <row r="22" spans="1:11" ht="90">
      <c r="A22" s="46">
        <v>21</v>
      </c>
      <c r="B22" s="2" t="s">
        <v>348</v>
      </c>
      <c r="C22" s="2" t="s">
        <v>236</v>
      </c>
      <c r="D22" s="2" t="s">
        <v>277</v>
      </c>
      <c r="F22" s="2" t="s">
        <v>262</v>
      </c>
      <c r="G22" s="2" t="s">
        <v>349</v>
      </c>
      <c r="H22" s="2" t="s">
        <v>241</v>
      </c>
      <c r="I22" s="26" t="s">
        <v>350</v>
      </c>
    </row>
    <row r="23" spans="1:11" ht="75">
      <c r="A23" s="46">
        <v>22</v>
      </c>
      <c r="B23" s="2" t="s">
        <v>351</v>
      </c>
      <c r="C23" s="2" t="s">
        <v>236</v>
      </c>
      <c r="D23" s="2" t="s">
        <v>277</v>
      </c>
      <c r="F23" s="2" t="s">
        <v>343</v>
      </c>
      <c r="G23" s="2" t="s">
        <v>352</v>
      </c>
      <c r="H23" s="2" t="s">
        <v>353</v>
      </c>
      <c r="I23" s="27" t="s">
        <v>354</v>
      </c>
      <c r="K23" s="2" t="s">
        <v>355</v>
      </c>
    </row>
    <row r="24" spans="1:11" ht="60">
      <c r="A24" s="46">
        <v>23</v>
      </c>
      <c r="B24" s="2" t="s">
        <v>356</v>
      </c>
      <c r="C24" s="2" t="s">
        <v>236</v>
      </c>
      <c r="D24" s="2" t="s">
        <v>277</v>
      </c>
      <c r="E24" s="2" t="s">
        <v>357</v>
      </c>
      <c r="F24" s="2" t="s">
        <v>358</v>
      </c>
      <c r="G24" s="2" t="s">
        <v>359</v>
      </c>
      <c r="H24" s="2" t="s">
        <v>360</v>
      </c>
      <c r="I24" s="26" t="s">
        <v>361</v>
      </c>
    </row>
    <row r="25" spans="1:11" ht="60">
      <c r="A25" s="46">
        <v>24</v>
      </c>
      <c r="B25" s="2" t="s">
        <v>362</v>
      </c>
      <c r="C25" s="2" t="s">
        <v>236</v>
      </c>
      <c r="D25" s="2" t="s">
        <v>277</v>
      </c>
      <c r="E25" s="2" t="s">
        <v>363</v>
      </c>
      <c r="F25" s="2" t="s">
        <v>364</v>
      </c>
      <c r="G25" s="2" t="s">
        <v>365</v>
      </c>
      <c r="H25" s="2" t="s">
        <v>366</v>
      </c>
      <c r="I25" s="26" t="s">
        <v>367</v>
      </c>
      <c r="K25" s="2" t="s">
        <v>368</v>
      </c>
    </row>
    <row r="26" spans="1:11" ht="30">
      <c r="A26" s="46">
        <v>25</v>
      </c>
      <c r="B26" s="2" t="s">
        <v>369</v>
      </c>
      <c r="C26" s="2" t="s">
        <v>236</v>
      </c>
      <c r="D26" s="2" t="s">
        <v>277</v>
      </c>
      <c r="E26" s="2" t="s">
        <v>320</v>
      </c>
      <c r="F26" s="2" t="s">
        <v>370</v>
      </c>
      <c r="G26" s="2" t="s">
        <v>322</v>
      </c>
    </row>
    <row r="27" spans="1:11" ht="71.25" customHeight="1">
      <c r="A27" s="46">
        <v>26</v>
      </c>
      <c r="B27" s="2" t="s">
        <v>371</v>
      </c>
      <c r="C27" s="2" t="s">
        <v>236</v>
      </c>
      <c r="D27" s="2" t="s">
        <v>277</v>
      </c>
      <c r="E27" s="2" t="s">
        <v>363</v>
      </c>
      <c r="F27" s="2" t="s">
        <v>339</v>
      </c>
      <c r="G27" s="2" t="s">
        <v>372</v>
      </c>
      <c r="H27" s="2" t="s">
        <v>373</v>
      </c>
      <c r="I27" s="26" t="s">
        <v>374</v>
      </c>
      <c r="J27" s="2" t="s">
        <v>375</v>
      </c>
      <c r="K27" s="2" t="s">
        <v>376</v>
      </c>
    </row>
    <row r="28" spans="1:11" ht="71.25" customHeight="1">
      <c r="A28" s="46">
        <v>27</v>
      </c>
      <c r="B28" s="2" t="s">
        <v>377</v>
      </c>
      <c r="C28" s="2" t="s">
        <v>236</v>
      </c>
      <c r="D28" s="2" t="s">
        <v>277</v>
      </c>
      <c r="E28" s="2" t="s">
        <v>363</v>
      </c>
      <c r="F28" s="2" t="s">
        <v>339</v>
      </c>
      <c r="G28" s="2" t="s">
        <v>372</v>
      </c>
      <c r="H28" s="2" t="s">
        <v>378</v>
      </c>
      <c r="I28" s="26" t="s">
        <v>367</v>
      </c>
      <c r="K28" s="2" t="s">
        <v>376</v>
      </c>
    </row>
    <row r="29" spans="1:11" ht="71.25" customHeight="1">
      <c r="A29" s="46">
        <v>28</v>
      </c>
      <c r="B29" s="2" t="s">
        <v>379</v>
      </c>
      <c r="C29" s="2" t="s">
        <v>236</v>
      </c>
      <c r="D29" s="2" t="s">
        <v>277</v>
      </c>
      <c r="E29" s="2" t="s">
        <v>380</v>
      </c>
      <c r="F29" s="2" t="s">
        <v>339</v>
      </c>
      <c r="G29" s="2" t="s">
        <v>381</v>
      </c>
      <c r="H29" s="2" t="s">
        <v>382</v>
      </c>
      <c r="I29" s="26" t="s">
        <v>383</v>
      </c>
      <c r="K29" s="2" t="s">
        <v>384</v>
      </c>
    </row>
    <row r="30" spans="1:11" ht="60">
      <c r="A30" s="46">
        <v>29</v>
      </c>
      <c r="B30" s="2" t="s">
        <v>385</v>
      </c>
      <c r="C30" s="2" t="s">
        <v>236</v>
      </c>
      <c r="D30" s="2" t="s">
        <v>277</v>
      </c>
      <c r="F30" s="2" t="s">
        <v>339</v>
      </c>
      <c r="G30" s="2" t="s">
        <v>365</v>
      </c>
      <c r="H30" s="2" t="s">
        <v>386</v>
      </c>
      <c r="I30" s="27" t="s">
        <v>387</v>
      </c>
      <c r="K30" s="2" t="s">
        <v>388</v>
      </c>
    </row>
    <row r="31" spans="1:11" ht="45">
      <c r="A31" s="46">
        <v>1</v>
      </c>
      <c r="B31" s="2" t="s">
        <v>247</v>
      </c>
      <c r="C31" s="2" t="s">
        <v>389</v>
      </c>
      <c r="D31" s="2" t="s">
        <v>237</v>
      </c>
      <c r="E31" s="26" t="s">
        <v>390</v>
      </c>
      <c r="F31" s="46" t="s">
        <v>391</v>
      </c>
      <c r="G31" s="2" t="s">
        <v>392</v>
      </c>
      <c r="H31" s="2" t="s">
        <v>251</v>
      </c>
    </row>
    <row r="32" spans="1:11" s="33" customFormat="1" ht="75">
      <c r="A32" s="46">
        <v>2</v>
      </c>
      <c r="B32" s="26" t="s">
        <v>371</v>
      </c>
      <c r="C32" s="2" t="s">
        <v>389</v>
      </c>
      <c r="D32" s="2" t="s">
        <v>277</v>
      </c>
      <c r="E32" s="26" t="s">
        <v>390</v>
      </c>
      <c r="F32" s="46" t="s">
        <v>393</v>
      </c>
      <c r="G32" s="46" t="s">
        <v>394</v>
      </c>
      <c r="H32" s="2" t="s">
        <v>395</v>
      </c>
      <c r="I32" s="26" t="s">
        <v>396</v>
      </c>
      <c r="J32" s="26" t="s">
        <v>397</v>
      </c>
      <c r="K32" s="46" t="s">
        <v>376</v>
      </c>
    </row>
    <row r="33" spans="1:11" ht="45">
      <c r="A33" s="46">
        <v>3</v>
      </c>
      <c r="B33" s="2" t="s">
        <v>276</v>
      </c>
      <c r="C33" s="2" t="s">
        <v>389</v>
      </c>
      <c r="D33" s="2" t="s">
        <v>277</v>
      </c>
      <c r="E33" s="26" t="s">
        <v>390</v>
      </c>
      <c r="F33" s="46" t="s">
        <v>398</v>
      </c>
      <c r="G33" s="2" t="s">
        <v>399</v>
      </c>
      <c r="H33" s="2" t="s">
        <v>279</v>
      </c>
      <c r="I33" s="26" t="s">
        <v>400</v>
      </c>
    </row>
    <row r="34" spans="1:11" ht="45">
      <c r="A34" s="46">
        <v>4</v>
      </c>
      <c r="B34" s="2" t="s">
        <v>379</v>
      </c>
      <c r="C34" s="2" t="s">
        <v>389</v>
      </c>
      <c r="D34" s="2" t="s">
        <v>277</v>
      </c>
      <c r="E34" s="26" t="s">
        <v>390</v>
      </c>
      <c r="F34" s="46" t="s">
        <v>401</v>
      </c>
      <c r="G34" s="2" t="s">
        <v>402</v>
      </c>
      <c r="H34" s="2" t="s">
        <v>403</v>
      </c>
      <c r="I34" s="26" t="s">
        <v>404</v>
      </c>
    </row>
    <row r="35" spans="1:11" ht="45">
      <c r="A35" s="46">
        <v>5</v>
      </c>
      <c r="B35" s="2" t="s">
        <v>282</v>
      </c>
      <c r="C35" s="2" t="s">
        <v>389</v>
      </c>
      <c r="D35" s="2" t="s">
        <v>405</v>
      </c>
      <c r="E35" s="26" t="s">
        <v>390</v>
      </c>
      <c r="F35" s="46" t="s">
        <v>391</v>
      </c>
      <c r="G35" s="2" t="s">
        <v>392</v>
      </c>
      <c r="H35" s="2" t="s">
        <v>251</v>
      </c>
      <c r="I35" s="26" t="s">
        <v>404</v>
      </c>
    </row>
    <row r="36" spans="1:11" ht="60">
      <c r="A36" s="46">
        <v>6</v>
      </c>
      <c r="B36" s="2" t="s">
        <v>342</v>
      </c>
      <c r="C36" s="2" t="s">
        <v>389</v>
      </c>
      <c r="D36" s="2" t="s">
        <v>277</v>
      </c>
      <c r="E36" s="26" t="s">
        <v>390</v>
      </c>
      <c r="F36" s="46" t="s">
        <v>406</v>
      </c>
      <c r="G36" s="2" t="s">
        <v>402</v>
      </c>
      <c r="H36" s="2" t="s">
        <v>407</v>
      </c>
      <c r="I36" s="26" t="s">
        <v>404</v>
      </c>
      <c r="K36" s="2" t="s">
        <v>347</v>
      </c>
    </row>
    <row r="37" spans="1:11" ht="60">
      <c r="A37" s="46">
        <v>7</v>
      </c>
      <c r="B37" s="2" t="s">
        <v>351</v>
      </c>
      <c r="C37" s="2" t="s">
        <v>389</v>
      </c>
      <c r="D37" s="2" t="s">
        <v>277</v>
      </c>
      <c r="E37" s="26" t="s">
        <v>390</v>
      </c>
      <c r="F37" s="46" t="s">
        <v>406</v>
      </c>
      <c r="G37" s="2" t="s">
        <v>402</v>
      </c>
      <c r="H37" s="2" t="s">
        <v>408</v>
      </c>
      <c r="I37" s="26" t="s">
        <v>404</v>
      </c>
      <c r="K37" s="2" t="s">
        <v>355</v>
      </c>
    </row>
    <row r="38" spans="1:11" s="64" customFormat="1" ht="75">
      <c r="A38" s="60">
        <v>1</v>
      </c>
      <c r="B38" s="60" t="s">
        <v>409</v>
      </c>
      <c r="C38" s="60" t="s">
        <v>410</v>
      </c>
      <c r="D38" s="61" t="s">
        <v>405</v>
      </c>
      <c r="E38" s="63" t="s">
        <v>411</v>
      </c>
      <c r="F38" s="60" t="s">
        <v>412</v>
      </c>
      <c r="G38" s="60" t="s">
        <v>413</v>
      </c>
      <c r="H38" s="61" t="s">
        <v>241</v>
      </c>
      <c r="I38" s="67" t="s">
        <v>414</v>
      </c>
      <c r="J38" s="60"/>
      <c r="K38" s="60"/>
    </row>
    <row r="39" spans="1:11" ht="45">
      <c r="A39" s="46">
        <f>A38+1</f>
        <v>2</v>
      </c>
      <c r="B39" s="2" t="s">
        <v>415</v>
      </c>
      <c r="C39" s="46" t="s">
        <v>410</v>
      </c>
      <c r="D39" s="2" t="s">
        <v>277</v>
      </c>
      <c r="E39" s="2" t="s">
        <v>416</v>
      </c>
      <c r="F39" s="2" t="s">
        <v>417</v>
      </c>
      <c r="G39" s="2" t="s">
        <v>418</v>
      </c>
      <c r="H39" s="2" t="s">
        <v>241</v>
      </c>
      <c r="I39" s="26" t="s">
        <v>419</v>
      </c>
    </row>
    <row r="40" spans="1:11" ht="45">
      <c r="A40" s="46">
        <f t="shared" ref="A40:A41" si="1">A39+1</f>
        <v>3</v>
      </c>
      <c r="B40" s="2" t="s">
        <v>420</v>
      </c>
      <c r="C40" s="46" t="s">
        <v>410</v>
      </c>
      <c r="D40" s="2" t="s">
        <v>277</v>
      </c>
      <c r="E40" s="4" t="s">
        <v>421</v>
      </c>
      <c r="F40" s="2" t="s">
        <v>422</v>
      </c>
      <c r="G40" s="2" t="s">
        <v>423</v>
      </c>
      <c r="H40" s="2" t="s">
        <v>241</v>
      </c>
      <c r="I40" s="26" t="s">
        <v>424</v>
      </c>
    </row>
    <row r="41" spans="1:11" ht="45">
      <c r="A41" s="46">
        <f t="shared" si="1"/>
        <v>4</v>
      </c>
      <c r="B41" s="2" t="s">
        <v>425</v>
      </c>
      <c r="C41" s="46" t="s">
        <v>410</v>
      </c>
      <c r="D41" s="2" t="s">
        <v>277</v>
      </c>
      <c r="E41" s="2" t="s">
        <v>416</v>
      </c>
      <c r="F41" s="2" t="s">
        <v>426</v>
      </c>
      <c r="G41" s="2" t="s">
        <v>427</v>
      </c>
      <c r="H41" s="2" t="s">
        <v>241</v>
      </c>
      <c r="I41" s="26" t="s">
        <v>428</v>
      </c>
    </row>
    <row r="42" spans="1:11" s="28" customFormat="1" ht="45">
      <c r="A42" s="46">
        <v>5</v>
      </c>
      <c r="B42" s="26" t="s">
        <v>429</v>
      </c>
      <c r="C42" s="46" t="s">
        <v>410</v>
      </c>
      <c r="D42" s="2" t="s">
        <v>277</v>
      </c>
      <c r="E42" s="27" t="s">
        <v>430</v>
      </c>
      <c r="F42" s="27" t="s">
        <v>431</v>
      </c>
      <c r="G42" s="27" t="s">
        <v>432</v>
      </c>
      <c r="H42" s="2" t="s">
        <v>241</v>
      </c>
      <c r="I42" s="27" t="s">
        <v>433</v>
      </c>
      <c r="J42" s="26"/>
      <c r="K42" s="26"/>
    </row>
    <row r="43" spans="1:11" s="28" customFormat="1" ht="75">
      <c r="A43" s="46">
        <v>6</v>
      </c>
      <c r="B43" s="26" t="s">
        <v>434</v>
      </c>
      <c r="C43" s="46" t="s">
        <v>410</v>
      </c>
      <c r="D43" s="2" t="s">
        <v>277</v>
      </c>
      <c r="E43" s="4" t="s">
        <v>435</v>
      </c>
      <c r="F43" s="2" t="s">
        <v>436</v>
      </c>
      <c r="G43" s="2" t="s">
        <v>437</v>
      </c>
      <c r="H43" s="2" t="s">
        <v>241</v>
      </c>
      <c r="I43" s="26" t="s">
        <v>438</v>
      </c>
      <c r="J43" s="26"/>
      <c r="K43" s="26"/>
    </row>
    <row r="44" spans="1:11" s="28" customFormat="1" ht="45">
      <c r="A44" s="46">
        <v>7</v>
      </c>
      <c r="B44" s="2" t="s">
        <v>439</v>
      </c>
      <c r="C44" s="46" t="s">
        <v>410</v>
      </c>
      <c r="D44" s="2" t="s">
        <v>277</v>
      </c>
      <c r="E44" s="2" t="s">
        <v>416</v>
      </c>
      <c r="F44" s="2" t="s">
        <v>440</v>
      </c>
      <c r="G44" s="2" t="s">
        <v>441</v>
      </c>
      <c r="H44" s="2" t="s">
        <v>241</v>
      </c>
      <c r="I44" s="27" t="s">
        <v>442</v>
      </c>
      <c r="J44" s="2"/>
      <c r="K44" s="2"/>
    </row>
    <row r="45" spans="1:11" s="28" customFormat="1" ht="45">
      <c r="A45" s="46">
        <v>8</v>
      </c>
      <c r="B45" s="26" t="s">
        <v>443</v>
      </c>
      <c r="C45" s="46" t="s">
        <v>410</v>
      </c>
      <c r="D45" s="2" t="s">
        <v>277</v>
      </c>
      <c r="E45" s="26" t="s">
        <v>416</v>
      </c>
      <c r="F45" s="26" t="s">
        <v>444</v>
      </c>
      <c r="G45" s="26" t="s">
        <v>445</v>
      </c>
      <c r="H45" s="2" t="s">
        <v>241</v>
      </c>
      <c r="I45" s="27" t="s">
        <v>442</v>
      </c>
      <c r="J45" s="26"/>
      <c r="K45" s="26"/>
    </row>
    <row r="46" spans="1:11" s="28" customFormat="1" ht="75">
      <c r="A46" s="46">
        <v>9</v>
      </c>
      <c r="B46" s="26" t="s">
        <v>446</v>
      </c>
      <c r="C46" s="46" t="s">
        <v>410</v>
      </c>
      <c r="D46" s="26" t="s">
        <v>237</v>
      </c>
      <c r="E46" s="27" t="s">
        <v>447</v>
      </c>
      <c r="F46" s="26" t="s">
        <v>448</v>
      </c>
      <c r="G46" s="26" t="s">
        <v>449</v>
      </c>
      <c r="H46" s="2" t="s">
        <v>241</v>
      </c>
      <c r="I46" s="27" t="s">
        <v>450</v>
      </c>
      <c r="J46" s="26"/>
      <c r="K46" s="26"/>
    </row>
    <row r="47" spans="1:11" s="28" customFormat="1" ht="60">
      <c r="A47" s="46">
        <v>10</v>
      </c>
      <c r="B47" s="26" t="s">
        <v>451</v>
      </c>
      <c r="C47" s="46" t="s">
        <v>410</v>
      </c>
      <c r="D47" s="2" t="s">
        <v>277</v>
      </c>
      <c r="E47" s="27" t="s">
        <v>452</v>
      </c>
      <c r="F47" s="27" t="s">
        <v>453</v>
      </c>
      <c r="G47" s="26" t="s">
        <v>454</v>
      </c>
      <c r="H47" s="2" t="s">
        <v>241</v>
      </c>
      <c r="I47" s="26" t="s">
        <v>455</v>
      </c>
      <c r="J47" s="26"/>
      <c r="K47" s="26"/>
    </row>
    <row r="48" spans="1:11" s="34" customFormat="1" ht="105.75" customHeight="1">
      <c r="A48" s="46">
        <v>11</v>
      </c>
      <c r="B48" s="27" t="s">
        <v>456</v>
      </c>
      <c r="C48" s="46" t="s">
        <v>410</v>
      </c>
      <c r="D48" s="2" t="s">
        <v>277</v>
      </c>
      <c r="E48" s="27" t="s">
        <v>457</v>
      </c>
      <c r="F48" s="27" t="s">
        <v>458</v>
      </c>
      <c r="G48" s="27" t="s">
        <v>459</v>
      </c>
      <c r="H48" s="2" t="s">
        <v>241</v>
      </c>
      <c r="I48" s="27" t="s">
        <v>460</v>
      </c>
      <c r="J48" s="26"/>
      <c r="K48" s="26"/>
    </row>
    <row r="49" spans="1:11" s="34" customFormat="1" ht="77.25" customHeight="1">
      <c r="A49" s="46">
        <v>12</v>
      </c>
      <c r="B49" s="27" t="s">
        <v>461</v>
      </c>
      <c r="C49" s="46" t="s">
        <v>410</v>
      </c>
      <c r="D49" s="2" t="s">
        <v>277</v>
      </c>
      <c r="E49" s="27" t="s">
        <v>462</v>
      </c>
      <c r="F49" s="27" t="s">
        <v>463</v>
      </c>
      <c r="G49" s="27" t="s">
        <v>464</v>
      </c>
      <c r="H49" s="2" t="s">
        <v>241</v>
      </c>
      <c r="I49" s="27" t="s">
        <v>465</v>
      </c>
      <c r="J49" s="26"/>
      <c r="K49" s="26"/>
    </row>
    <row r="50" spans="1:11" s="34" customFormat="1" ht="114.75" customHeight="1">
      <c r="A50" s="46">
        <v>13</v>
      </c>
      <c r="B50" s="27" t="s">
        <v>466</v>
      </c>
      <c r="C50" s="46" t="s">
        <v>410</v>
      </c>
      <c r="D50" s="2" t="s">
        <v>277</v>
      </c>
      <c r="E50" s="35" t="s">
        <v>467</v>
      </c>
      <c r="F50" s="27" t="s">
        <v>468</v>
      </c>
      <c r="G50" s="27" t="s">
        <v>469</v>
      </c>
      <c r="H50" s="2" t="s">
        <v>241</v>
      </c>
      <c r="I50" s="27" t="s">
        <v>450</v>
      </c>
      <c r="J50" s="26"/>
      <c r="K50" s="26"/>
    </row>
    <row r="51" spans="1:11" s="34" customFormat="1" ht="56.25" customHeight="1">
      <c r="A51" s="46">
        <v>14</v>
      </c>
      <c r="B51" s="27" t="s">
        <v>470</v>
      </c>
      <c r="C51" s="46" t="s">
        <v>410</v>
      </c>
      <c r="D51" s="2" t="s">
        <v>277</v>
      </c>
      <c r="E51" s="4" t="s">
        <v>471</v>
      </c>
      <c r="F51" s="2" t="s">
        <v>472</v>
      </c>
      <c r="G51" s="2" t="s">
        <v>427</v>
      </c>
      <c r="H51" s="2" t="s">
        <v>241</v>
      </c>
      <c r="I51" s="26" t="s">
        <v>428</v>
      </c>
      <c r="J51" s="26"/>
      <c r="K51" s="26"/>
    </row>
    <row r="52" spans="1:11" s="34" customFormat="1" ht="91.5" customHeight="1">
      <c r="A52" s="46">
        <v>15</v>
      </c>
      <c r="B52" s="27" t="s">
        <v>473</v>
      </c>
      <c r="C52" s="46" t="s">
        <v>410</v>
      </c>
      <c r="D52" s="27" t="s">
        <v>237</v>
      </c>
      <c r="E52" s="27" t="s">
        <v>474</v>
      </c>
      <c r="F52" s="2" t="s">
        <v>444</v>
      </c>
      <c r="G52" s="27" t="s">
        <v>475</v>
      </c>
      <c r="H52" s="2" t="s">
        <v>241</v>
      </c>
      <c r="I52" s="27" t="s">
        <v>476</v>
      </c>
      <c r="J52" s="26"/>
      <c r="K52" s="26"/>
    </row>
    <row r="53" spans="1:11" s="34" customFormat="1" ht="69.75" customHeight="1">
      <c r="A53" s="46">
        <v>16</v>
      </c>
      <c r="B53" s="27" t="s">
        <v>477</v>
      </c>
      <c r="C53" s="46" t="s">
        <v>410</v>
      </c>
      <c r="D53" s="2" t="s">
        <v>277</v>
      </c>
      <c r="E53" s="35" t="s">
        <v>478</v>
      </c>
      <c r="F53" s="2" t="s">
        <v>479</v>
      </c>
      <c r="G53" s="26" t="s">
        <v>449</v>
      </c>
      <c r="H53" s="2" t="s">
        <v>241</v>
      </c>
      <c r="I53" s="27" t="s">
        <v>480</v>
      </c>
      <c r="J53" s="26"/>
      <c r="K53" s="26"/>
    </row>
    <row r="54" spans="1:11" s="34" customFormat="1" ht="150">
      <c r="A54" s="46">
        <v>17</v>
      </c>
      <c r="B54" s="27" t="s">
        <v>481</v>
      </c>
      <c r="C54" s="46" t="s">
        <v>410</v>
      </c>
      <c r="D54" s="2" t="s">
        <v>277</v>
      </c>
      <c r="E54" s="35" t="s">
        <v>482</v>
      </c>
      <c r="F54" s="2" t="s">
        <v>483</v>
      </c>
      <c r="G54" s="26" t="s">
        <v>484</v>
      </c>
      <c r="H54" s="2" t="s">
        <v>241</v>
      </c>
      <c r="I54" s="27" t="s">
        <v>485</v>
      </c>
      <c r="J54" s="26"/>
      <c r="K54" s="26"/>
    </row>
    <row r="55" spans="1:11" s="34" customFormat="1" ht="168" customHeight="1">
      <c r="A55" s="46">
        <v>18</v>
      </c>
      <c r="B55" s="27" t="s">
        <v>486</v>
      </c>
      <c r="C55" s="46" t="s">
        <v>410</v>
      </c>
      <c r="D55" s="27" t="s">
        <v>487</v>
      </c>
      <c r="E55" s="35" t="s">
        <v>488</v>
      </c>
      <c r="F55" s="2" t="s">
        <v>489</v>
      </c>
      <c r="G55" s="26" t="s">
        <v>449</v>
      </c>
      <c r="H55" s="2" t="s">
        <v>241</v>
      </c>
      <c r="I55" s="27"/>
      <c r="J55" s="26"/>
      <c r="K55" s="26"/>
    </row>
    <row r="56" spans="1:11" s="62" customFormat="1" ht="60">
      <c r="A56" s="60">
        <v>1</v>
      </c>
      <c r="B56" s="61" t="s">
        <v>490</v>
      </c>
      <c r="C56" s="61" t="s">
        <v>491</v>
      </c>
      <c r="D56" s="61" t="s">
        <v>277</v>
      </c>
      <c r="E56" s="61" t="s">
        <v>492</v>
      </c>
      <c r="F56" s="61" t="s">
        <v>493</v>
      </c>
      <c r="G56" s="61" t="s">
        <v>494</v>
      </c>
      <c r="H56" s="61" t="s">
        <v>241</v>
      </c>
      <c r="I56" s="69" t="s">
        <v>495</v>
      </c>
      <c r="J56" s="61"/>
      <c r="K56" s="61" t="s">
        <v>496</v>
      </c>
    </row>
    <row r="57" spans="1:11" ht="75">
      <c r="A57" s="46">
        <f>A56+1</f>
        <v>2</v>
      </c>
      <c r="B57" s="2" t="s">
        <v>497</v>
      </c>
      <c r="C57" s="2" t="s">
        <v>491</v>
      </c>
      <c r="D57" s="2" t="s">
        <v>277</v>
      </c>
      <c r="E57" s="2" t="s">
        <v>492</v>
      </c>
      <c r="F57" s="2" t="s">
        <v>498</v>
      </c>
      <c r="G57" s="2" t="s">
        <v>499</v>
      </c>
      <c r="H57" s="2" t="s">
        <v>241</v>
      </c>
      <c r="I57" s="27" t="s">
        <v>500</v>
      </c>
    </row>
    <row r="58" spans="1:11" s="33" customFormat="1" ht="75">
      <c r="A58" s="46">
        <v>3</v>
      </c>
      <c r="B58" s="26" t="s">
        <v>409</v>
      </c>
      <c r="C58" s="2" t="s">
        <v>491</v>
      </c>
      <c r="D58" s="26" t="s">
        <v>405</v>
      </c>
      <c r="E58" s="46" t="s">
        <v>501</v>
      </c>
      <c r="F58" s="46" t="s">
        <v>502</v>
      </c>
      <c r="G58" s="46" t="s">
        <v>499</v>
      </c>
      <c r="H58" s="2" t="s">
        <v>241</v>
      </c>
      <c r="I58" s="27" t="s">
        <v>500</v>
      </c>
      <c r="J58" s="46"/>
      <c r="K58" s="46"/>
    </row>
    <row r="59" spans="1:11" s="62" customFormat="1" ht="90">
      <c r="A59" s="60">
        <v>1</v>
      </c>
      <c r="B59" s="61" t="s">
        <v>503</v>
      </c>
      <c r="C59" s="61" t="s">
        <v>504</v>
      </c>
      <c r="D59" s="61" t="s">
        <v>505</v>
      </c>
      <c r="E59" s="61" t="s">
        <v>506</v>
      </c>
      <c r="F59" s="61" t="s">
        <v>507</v>
      </c>
      <c r="G59" s="61" t="s">
        <v>508</v>
      </c>
      <c r="H59" s="61" t="s">
        <v>509</v>
      </c>
      <c r="I59" s="69" t="s">
        <v>510</v>
      </c>
      <c r="J59" s="61"/>
      <c r="K59" s="61"/>
    </row>
    <row r="60" spans="1:11" ht="90">
      <c r="A60" s="46">
        <f>A59+1</f>
        <v>2</v>
      </c>
      <c r="B60" s="2" t="s">
        <v>331</v>
      </c>
      <c r="C60" s="2" t="s">
        <v>504</v>
      </c>
      <c r="D60" s="2" t="s">
        <v>332</v>
      </c>
      <c r="E60" s="2" t="s">
        <v>506</v>
      </c>
      <c r="F60" s="2" t="s">
        <v>507</v>
      </c>
      <c r="G60" s="2" t="s">
        <v>508</v>
      </c>
      <c r="H60" s="2" t="s">
        <v>509</v>
      </c>
      <c r="I60" s="27" t="s">
        <v>510</v>
      </c>
    </row>
    <row r="61" spans="1:11" ht="30">
      <c r="A61" s="46">
        <f t="shared" ref="A61:A62" si="2">A60+1</f>
        <v>3</v>
      </c>
      <c r="B61" s="2" t="s">
        <v>369</v>
      </c>
      <c r="C61" s="2" t="s">
        <v>504</v>
      </c>
      <c r="D61" s="2" t="s">
        <v>277</v>
      </c>
      <c r="E61" s="2" t="s">
        <v>506</v>
      </c>
      <c r="G61" s="2" t="s">
        <v>508</v>
      </c>
      <c r="H61" s="2" t="s">
        <v>509</v>
      </c>
    </row>
    <row r="62" spans="1:11" ht="30">
      <c r="A62" s="46">
        <f t="shared" si="2"/>
        <v>4</v>
      </c>
      <c r="B62" s="2" t="s">
        <v>511</v>
      </c>
      <c r="C62" s="2" t="s">
        <v>504</v>
      </c>
      <c r="D62" s="2" t="s">
        <v>277</v>
      </c>
      <c r="E62" s="2" t="s">
        <v>506</v>
      </c>
      <c r="G62" s="2" t="s">
        <v>508</v>
      </c>
      <c r="H62" s="2" t="s">
        <v>509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DA2E-61CE-4E9C-9126-F4CCCEF1733D}">
  <dimension ref="A1:A4"/>
  <sheetViews>
    <sheetView workbookViewId="0"/>
  </sheetViews>
  <sheetFormatPr defaultRowHeight="15"/>
  <cols>
    <col min="1" max="1" width="97" customWidth="1"/>
  </cols>
  <sheetData>
    <row r="1" spans="1:1" ht="29.25">
      <c r="A1" s="29" t="s">
        <v>512</v>
      </c>
    </row>
    <row r="2" spans="1:1" ht="147" customHeight="1">
      <c r="A2" s="31"/>
    </row>
    <row r="3" spans="1:1" ht="29.25">
      <c r="A3" s="29" t="s">
        <v>513</v>
      </c>
    </row>
    <row r="4" spans="1:1" ht="170.25" customHeight="1">
      <c r="A4" s="3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F65B-3C1A-41CD-B0A4-67A3B0D352E3}">
  <dimension ref="A1:A32"/>
  <sheetViews>
    <sheetView workbookViewId="0">
      <selection activeCell="C21" sqref="C21"/>
    </sheetView>
  </sheetViews>
  <sheetFormatPr defaultRowHeight="15"/>
  <cols>
    <col min="1" max="1" width="95.28515625" style="3" bestFit="1" customWidth="1"/>
  </cols>
  <sheetData>
    <row r="1" spans="1:1">
      <c r="A1" s="53" t="s">
        <v>514</v>
      </c>
    </row>
    <row r="2" spans="1:1">
      <c r="A2" s="54" t="s">
        <v>515</v>
      </c>
    </row>
    <row r="3" spans="1:1">
      <c r="A3" s="3" t="s">
        <v>516</v>
      </c>
    </row>
    <row r="5" spans="1:1">
      <c r="A5" s="6" t="s">
        <v>517</v>
      </c>
    </row>
    <row r="6" spans="1:1" ht="30">
      <c r="A6" s="3" t="s">
        <v>518</v>
      </c>
    </row>
    <row r="8" spans="1:1">
      <c r="A8" s="6" t="s">
        <v>519</v>
      </c>
    </row>
    <row r="9" spans="1:1" ht="30">
      <c r="A9" s="3" t="s">
        <v>520</v>
      </c>
    </row>
    <row r="12" spans="1:1">
      <c r="A12" s="6" t="s">
        <v>521</v>
      </c>
    </row>
    <row r="13" spans="1:1">
      <c r="A13" s="3" t="s">
        <v>522</v>
      </c>
    </row>
    <row r="15" spans="1:1">
      <c r="A15" s="6" t="s">
        <v>523</v>
      </c>
    </row>
    <row r="16" spans="1:1" ht="30">
      <c r="A16" s="3" t="s">
        <v>524</v>
      </c>
    </row>
    <row r="18" spans="1:1">
      <c r="A18" s="53" t="s">
        <v>525</v>
      </c>
    </row>
    <row r="19" spans="1:1">
      <c r="A19" s="54" t="s">
        <v>515</v>
      </c>
    </row>
    <row r="22" spans="1:1">
      <c r="A22" s="6" t="s">
        <v>526</v>
      </c>
    </row>
    <row r="25" spans="1:1">
      <c r="A25" s="6" t="s">
        <v>519</v>
      </c>
    </row>
    <row r="29" spans="1:1">
      <c r="A29" s="6" t="s">
        <v>521</v>
      </c>
    </row>
    <row r="32" spans="1:1">
      <c r="A32" s="6" t="s">
        <v>523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21D5-285B-4D81-B9EA-63641FC24832}">
  <dimension ref="A1:A32"/>
  <sheetViews>
    <sheetView topLeftCell="A8" workbookViewId="0">
      <selection activeCell="A2" sqref="A2:XFD12"/>
    </sheetView>
  </sheetViews>
  <sheetFormatPr defaultRowHeight="15"/>
  <cols>
    <col min="1" max="1" width="95.28515625" style="3" bestFit="1" customWidth="1"/>
  </cols>
  <sheetData>
    <row r="1" spans="1:1">
      <c r="A1" s="53" t="s">
        <v>514</v>
      </c>
    </row>
    <row r="2" spans="1:1" ht="33">
      <c r="A2" s="55" t="s">
        <v>527</v>
      </c>
    </row>
    <row r="3" spans="1:1" ht="30.75">
      <c r="A3" s="56" t="s">
        <v>528</v>
      </c>
    </row>
    <row r="4" spans="1:1" ht="45.75">
      <c r="A4" s="57" t="s">
        <v>529</v>
      </c>
    </row>
    <row r="5" spans="1:1" ht="30.75">
      <c r="A5" s="56" t="s">
        <v>530</v>
      </c>
    </row>
    <row r="6" spans="1:1" ht="66.75">
      <c r="A6" s="57" t="s">
        <v>531</v>
      </c>
    </row>
    <row r="7" spans="1:1" ht="30.75">
      <c r="A7" s="56" t="s">
        <v>532</v>
      </c>
    </row>
    <row r="8" spans="1:1" ht="45.75">
      <c r="A8" s="57" t="s">
        <v>533</v>
      </c>
    </row>
    <row r="9" spans="1:1" ht="30.75">
      <c r="A9" s="56" t="s">
        <v>534</v>
      </c>
    </row>
    <row r="10" spans="1:1" ht="45.75">
      <c r="A10" s="57" t="s">
        <v>535</v>
      </c>
    </row>
    <row r="11" spans="1:1" ht="30.75">
      <c r="A11" s="56" t="s">
        <v>536</v>
      </c>
    </row>
    <row r="12" spans="1:1" ht="45.75">
      <c r="A12" s="58" t="s">
        <v>537</v>
      </c>
    </row>
    <row r="13" spans="1:1">
      <c r="A13" s="3" t="s">
        <v>522</v>
      </c>
    </row>
    <row r="15" spans="1:1">
      <c r="A15" s="6" t="s">
        <v>523</v>
      </c>
    </row>
    <row r="16" spans="1:1" ht="30">
      <c r="A16" s="3" t="s">
        <v>524</v>
      </c>
    </row>
    <row r="18" spans="1:1">
      <c r="A18" s="53" t="s">
        <v>525</v>
      </c>
    </row>
    <row r="19" spans="1:1">
      <c r="A19" s="54" t="s">
        <v>515</v>
      </c>
    </row>
    <row r="22" spans="1:1">
      <c r="A22" s="6" t="s">
        <v>526</v>
      </c>
    </row>
    <row r="25" spans="1:1">
      <c r="A25" s="6" t="s">
        <v>519</v>
      </c>
    </row>
    <row r="29" spans="1:1">
      <c r="A29" s="6" t="s">
        <v>521</v>
      </c>
    </row>
    <row r="32" spans="1:1">
      <c r="A32" s="6"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Lịch sử phát triển-ok</vt:lpstr>
      <vt:lpstr>Sơ đồ tổ chức-ok</vt:lpstr>
      <vt:lpstr>Các phòng ban</vt:lpstr>
      <vt:lpstr>Các dự án</vt:lpstr>
      <vt:lpstr>Đội ngũ chuyên gia</vt:lpstr>
      <vt:lpstr>Sứ mệnh tầm nhìn</vt:lpstr>
      <vt:lpstr>khóa thảo luận</vt:lpstr>
      <vt:lpstr>Hoạt động thực tế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quang thang</dc:creator>
  <cp:keywords/>
  <dc:description/>
  <cp:lastModifiedBy>quang thang</cp:lastModifiedBy>
  <cp:revision/>
  <dcterms:created xsi:type="dcterms:W3CDTF">2025-11-15T08:20:57Z</dcterms:created>
  <dcterms:modified xsi:type="dcterms:W3CDTF">2025-11-26T16:07:27Z</dcterms:modified>
  <cp:category/>
  <cp:contentStatus/>
</cp:coreProperties>
</file>